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EF4098-6CD2-42F6-BDD9-377F26AE8650}" xr6:coauthVersionLast="36" xr6:coauthVersionMax="36" xr10:uidLastSave="{00000000-0000-0000-0000-000000000000}"/>
  <bookViews>
    <workbookView xWindow="0" yWindow="0" windowWidth="20490" windowHeight="6795" xr2:uid="{00000000-000D-0000-FFFF-FFFF00000000}"/>
  </bookViews>
  <sheets>
    <sheet name="README" sheetId="1" r:id="rId1"/>
    <sheet name="実績データ" sheetId="2" r:id="rId2"/>
    <sheet name="クレンジング" sheetId="3" r:id="rId3"/>
    <sheet name="統計分析" sheetId="4" r:id="rId4"/>
    <sheet name="集計" sheetId="5" r:id="rId5"/>
    <sheet name="ダッシュボード" sheetId="6" r:id="rId6"/>
    <sheet name="予測シミュレーション" sheetId="7" r:id="rId7"/>
  </sheets>
  <calcPr calcId="191029" forceFullCalc="1"/>
  <pivotCaches>
    <pivotCache cacheId="0" r:id="rId8"/>
  </pivotCaches>
</workbook>
</file>

<file path=xl/calcChain.xml><?xml version="1.0" encoding="utf-8"?>
<calcChain xmlns="http://schemas.openxmlformats.org/spreadsheetml/2006/main">
  <c r="G501" i="3" l="1"/>
  <c r="F501" i="3"/>
  <c r="E501" i="3"/>
  <c r="D501" i="3"/>
  <c r="B501" i="3"/>
  <c r="C501" i="3" s="1"/>
  <c r="A501" i="3"/>
  <c r="G500" i="3"/>
  <c r="F500" i="3"/>
  <c r="E500" i="3"/>
  <c r="D500" i="3"/>
  <c r="B500" i="3"/>
  <c r="C500" i="3" s="1"/>
  <c r="A500" i="3"/>
  <c r="G499" i="3"/>
  <c r="F499" i="3"/>
  <c r="E499" i="3"/>
  <c r="D499" i="3"/>
  <c r="B499" i="3"/>
  <c r="C499" i="3" s="1"/>
  <c r="A499" i="3"/>
  <c r="G498" i="3"/>
  <c r="F498" i="3"/>
  <c r="E498" i="3"/>
  <c r="D498" i="3"/>
  <c r="B498" i="3"/>
  <c r="C498" i="3" s="1"/>
  <c r="A498" i="3"/>
  <c r="G497" i="3"/>
  <c r="F497" i="3"/>
  <c r="E497" i="3"/>
  <c r="D497" i="3"/>
  <c r="B497" i="3"/>
  <c r="C497" i="3" s="1"/>
  <c r="A497" i="3"/>
  <c r="I497" i="3" s="1"/>
  <c r="G496" i="3"/>
  <c r="F496" i="3"/>
  <c r="E496" i="3"/>
  <c r="D496" i="3"/>
  <c r="B496" i="3"/>
  <c r="C496" i="3" s="1"/>
  <c r="A496" i="3"/>
  <c r="I496" i="3" s="1"/>
  <c r="G495" i="3"/>
  <c r="F495" i="3"/>
  <c r="E495" i="3"/>
  <c r="D495" i="3"/>
  <c r="B495" i="3"/>
  <c r="C495" i="3" s="1"/>
  <c r="A495" i="3"/>
  <c r="I495" i="3" s="1"/>
  <c r="G494" i="3"/>
  <c r="F494" i="3"/>
  <c r="E494" i="3"/>
  <c r="D494" i="3"/>
  <c r="B494" i="3"/>
  <c r="C494" i="3" s="1"/>
  <c r="A494" i="3"/>
  <c r="H494" i="3" s="1"/>
  <c r="G493" i="3"/>
  <c r="F493" i="3"/>
  <c r="E493" i="3"/>
  <c r="D493" i="3"/>
  <c r="B493" i="3"/>
  <c r="C493" i="3" s="1"/>
  <c r="A493" i="3"/>
  <c r="G492" i="3"/>
  <c r="F492" i="3"/>
  <c r="E492" i="3"/>
  <c r="D492" i="3"/>
  <c r="B492" i="3"/>
  <c r="C492" i="3" s="1"/>
  <c r="A492" i="3"/>
  <c r="I492" i="3" s="1"/>
  <c r="G491" i="3"/>
  <c r="F491" i="3"/>
  <c r="E491" i="3"/>
  <c r="D491" i="3"/>
  <c r="B491" i="3"/>
  <c r="C491" i="3" s="1"/>
  <c r="A491" i="3"/>
  <c r="I491" i="3" s="1"/>
  <c r="G490" i="3"/>
  <c r="F490" i="3"/>
  <c r="E490" i="3"/>
  <c r="D490" i="3"/>
  <c r="B490" i="3"/>
  <c r="C490" i="3" s="1"/>
  <c r="A490" i="3"/>
  <c r="H490" i="3" s="1"/>
  <c r="G489" i="3"/>
  <c r="F489" i="3"/>
  <c r="E489" i="3"/>
  <c r="D489" i="3"/>
  <c r="B489" i="3"/>
  <c r="C489" i="3" s="1"/>
  <c r="A489" i="3"/>
  <c r="I489" i="3" s="1"/>
  <c r="G488" i="3"/>
  <c r="F488" i="3"/>
  <c r="E488" i="3"/>
  <c r="D488" i="3"/>
  <c r="B488" i="3"/>
  <c r="C488" i="3" s="1"/>
  <c r="A488" i="3"/>
  <c r="I488" i="3" s="1"/>
  <c r="G487" i="3"/>
  <c r="F487" i="3"/>
  <c r="E487" i="3"/>
  <c r="D487" i="3"/>
  <c r="B487" i="3"/>
  <c r="C487" i="3" s="1"/>
  <c r="A487" i="3"/>
  <c r="H487" i="3" s="1"/>
  <c r="G486" i="3"/>
  <c r="F486" i="3"/>
  <c r="E486" i="3"/>
  <c r="D486" i="3"/>
  <c r="B486" i="3"/>
  <c r="C486" i="3" s="1"/>
  <c r="A486" i="3"/>
  <c r="G485" i="3"/>
  <c r="F485" i="3"/>
  <c r="E485" i="3"/>
  <c r="D485" i="3"/>
  <c r="B485" i="3"/>
  <c r="C485" i="3" s="1"/>
  <c r="A485" i="3"/>
  <c r="I485" i="3" s="1"/>
  <c r="G484" i="3"/>
  <c r="F484" i="3"/>
  <c r="E484" i="3"/>
  <c r="D484" i="3"/>
  <c r="B484" i="3"/>
  <c r="C484" i="3" s="1"/>
  <c r="A484" i="3"/>
  <c r="H484" i="3" s="1"/>
  <c r="G483" i="3"/>
  <c r="F483" i="3"/>
  <c r="E483" i="3"/>
  <c r="D483" i="3"/>
  <c r="B483" i="3"/>
  <c r="C483" i="3" s="1"/>
  <c r="A483" i="3"/>
  <c r="G482" i="3"/>
  <c r="F482" i="3"/>
  <c r="E482" i="3"/>
  <c r="D482" i="3"/>
  <c r="B482" i="3"/>
  <c r="C482" i="3" s="1"/>
  <c r="A482" i="3"/>
  <c r="G481" i="3"/>
  <c r="F481" i="3"/>
  <c r="E481" i="3"/>
  <c r="D481" i="3"/>
  <c r="B481" i="3"/>
  <c r="C481" i="3" s="1"/>
  <c r="A481" i="3"/>
  <c r="I481" i="3" s="1"/>
  <c r="G480" i="3"/>
  <c r="F480" i="3"/>
  <c r="E480" i="3"/>
  <c r="D480" i="3"/>
  <c r="B480" i="3"/>
  <c r="C480" i="3" s="1"/>
  <c r="A480" i="3"/>
  <c r="I480" i="3" s="1"/>
  <c r="G479" i="3"/>
  <c r="F479" i="3"/>
  <c r="E479" i="3"/>
  <c r="D479" i="3"/>
  <c r="B479" i="3"/>
  <c r="C479" i="3" s="1"/>
  <c r="A479" i="3"/>
  <c r="I479" i="3" s="1"/>
  <c r="G478" i="3"/>
  <c r="F478" i="3"/>
  <c r="E478" i="3"/>
  <c r="D478" i="3"/>
  <c r="B478" i="3"/>
  <c r="C478" i="3" s="1"/>
  <c r="A478" i="3"/>
  <c r="H478" i="3" s="1"/>
  <c r="G477" i="3"/>
  <c r="F477" i="3"/>
  <c r="E477" i="3"/>
  <c r="D477" i="3"/>
  <c r="B477" i="3"/>
  <c r="C477" i="3" s="1"/>
  <c r="A477" i="3"/>
  <c r="I477" i="3" s="1"/>
  <c r="G476" i="3"/>
  <c r="F476" i="3"/>
  <c r="E476" i="3"/>
  <c r="D476" i="3"/>
  <c r="B476" i="3"/>
  <c r="C476" i="3" s="1"/>
  <c r="A476" i="3"/>
  <c r="I476" i="3" s="1"/>
  <c r="G475" i="3"/>
  <c r="F475" i="3"/>
  <c r="E475" i="3"/>
  <c r="D475" i="3"/>
  <c r="B475" i="3"/>
  <c r="C475" i="3" s="1"/>
  <c r="A475" i="3"/>
  <c r="I475" i="3" s="1"/>
  <c r="G474" i="3"/>
  <c r="F474" i="3"/>
  <c r="E474" i="3"/>
  <c r="D474" i="3"/>
  <c r="B474" i="3"/>
  <c r="C474" i="3" s="1"/>
  <c r="A474" i="3"/>
  <c r="H474" i="3" s="1"/>
  <c r="G473" i="3"/>
  <c r="F473" i="3"/>
  <c r="E473" i="3"/>
  <c r="D473" i="3"/>
  <c r="B473" i="3"/>
  <c r="C473" i="3" s="1"/>
  <c r="A473" i="3"/>
  <c r="I473" i="3" s="1"/>
  <c r="G472" i="3"/>
  <c r="F472" i="3"/>
  <c r="E472" i="3"/>
  <c r="D472" i="3"/>
  <c r="B472" i="3"/>
  <c r="C472" i="3" s="1"/>
  <c r="A472" i="3"/>
  <c r="I472" i="3" s="1"/>
  <c r="G471" i="3"/>
  <c r="F471" i="3"/>
  <c r="E471" i="3"/>
  <c r="D471" i="3"/>
  <c r="B471" i="3"/>
  <c r="C471" i="3" s="1"/>
  <c r="A471" i="3"/>
  <c r="G470" i="3"/>
  <c r="F470" i="3"/>
  <c r="E470" i="3"/>
  <c r="D470" i="3"/>
  <c r="B470" i="3"/>
  <c r="C470" i="3" s="1"/>
  <c r="A470" i="3"/>
  <c r="H470" i="3" s="1"/>
  <c r="G469" i="3"/>
  <c r="F469" i="3"/>
  <c r="E469" i="3"/>
  <c r="D469" i="3"/>
  <c r="B469" i="3"/>
  <c r="C469" i="3" s="1"/>
  <c r="A469" i="3"/>
  <c r="I469" i="3" s="1"/>
  <c r="G468" i="3"/>
  <c r="F468" i="3"/>
  <c r="E468" i="3"/>
  <c r="D468" i="3"/>
  <c r="B468" i="3"/>
  <c r="C468" i="3" s="1"/>
  <c r="A468" i="3"/>
  <c r="G467" i="3"/>
  <c r="F467" i="3"/>
  <c r="E467" i="3"/>
  <c r="D467" i="3"/>
  <c r="B467" i="3"/>
  <c r="C467" i="3" s="1"/>
  <c r="A467" i="3"/>
  <c r="G466" i="3"/>
  <c r="F466" i="3"/>
  <c r="E466" i="3"/>
  <c r="D466" i="3"/>
  <c r="B466" i="3"/>
  <c r="C466" i="3" s="1"/>
  <c r="A466" i="3"/>
  <c r="G465" i="3"/>
  <c r="F465" i="3"/>
  <c r="E465" i="3"/>
  <c r="D465" i="3"/>
  <c r="B465" i="3"/>
  <c r="C465" i="3" s="1"/>
  <c r="A465" i="3"/>
  <c r="I465" i="3" s="1"/>
  <c r="G464" i="3"/>
  <c r="F464" i="3"/>
  <c r="E464" i="3"/>
  <c r="D464" i="3"/>
  <c r="B464" i="3"/>
  <c r="C464" i="3" s="1"/>
  <c r="A464" i="3"/>
  <c r="I464" i="3" s="1"/>
  <c r="G463" i="3"/>
  <c r="F463" i="3"/>
  <c r="E463" i="3"/>
  <c r="D463" i="3"/>
  <c r="B463" i="3"/>
  <c r="C463" i="3" s="1"/>
  <c r="A463" i="3"/>
  <c r="I463" i="3" s="1"/>
  <c r="G462" i="3"/>
  <c r="F462" i="3"/>
  <c r="E462" i="3"/>
  <c r="D462" i="3"/>
  <c r="B462" i="3"/>
  <c r="C462" i="3" s="1"/>
  <c r="A462" i="3"/>
  <c r="H462" i="3" s="1"/>
  <c r="G461" i="3"/>
  <c r="F461" i="3"/>
  <c r="E461" i="3"/>
  <c r="D461" i="3"/>
  <c r="B461" i="3"/>
  <c r="C461" i="3" s="1"/>
  <c r="A461" i="3"/>
  <c r="I461" i="3" s="1"/>
  <c r="G460" i="3"/>
  <c r="F460" i="3"/>
  <c r="E460" i="3"/>
  <c r="D460" i="3"/>
  <c r="B460" i="3"/>
  <c r="C460" i="3" s="1"/>
  <c r="A460" i="3"/>
  <c r="H460" i="3" s="1"/>
  <c r="G459" i="3"/>
  <c r="F459" i="3"/>
  <c r="E459" i="3"/>
  <c r="D459" i="3"/>
  <c r="B459" i="3"/>
  <c r="C459" i="3" s="1"/>
  <c r="A459" i="3"/>
  <c r="G458" i="3"/>
  <c r="F458" i="3"/>
  <c r="E458" i="3"/>
  <c r="D458" i="3"/>
  <c r="B458" i="3"/>
  <c r="C458" i="3" s="1"/>
  <c r="A458" i="3"/>
  <c r="G457" i="3"/>
  <c r="F457" i="3"/>
  <c r="E457" i="3"/>
  <c r="D457" i="3"/>
  <c r="B457" i="3"/>
  <c r="C457" i="3" s="1"/>
  <c r="A457" i="3"/>
  <c r="I457" i="3" s="1"/>
  <c r="G456" i="3"/>
  <c r="F456" i="3"/>
  <c r="E456" i="3"/>
  <c r="D456" i="3"/>
  <c r="B456" i="3"/>
  <c r="C456" i="3" s="1"/>
  <c r="A456" i="3"/>
  <c r="I456" i="3" s="1"/>
  <c r="G455" i="3"/>
  <c r="F455" i="3"/>
  <c r="E455" i="3"/>
  <c r="D455" i="3"/>
  <c r="B455" i="3"/>
  <c r="C455" i="3" s="1"/>
  <c r="A455" i="3"/>
  <c r="G454" i="3"/>
  <c r="F454" i="3"/>
  <c r="E454" i="3"/>
  <c r="D454" i="3"/>
  <c r="B454" i="3"/>
  <c r="C454" i="3" s="1"/>
  <c r="A454" i="3"/>
  <c r="H454" i="3" s="1"/>
  <c r="G453" i="3"/>
  <c r="F453" i="3"/>
  <c r="E453" i="3"/>
  <c r="D453" i="3"/>
  <c r="B453" i="3"/>
  <c r="C453" i="3" s="1"/>
  <c r="A453" i="3"/>
  <c r="I453" i="3" s="1"/>
  <c r="G452" i="3"/>
  <c r="F452" i="3"/>
  <c r="E452" i="3"/>
  <c r="D452" i="3"/>
  <c r="B452" i="3"/>
  <c r="C452" i="3" s="1"/>
  <c r="A452" i="3"/>
  <c r="H452" i="3" s="1"/>
  <c r="G451" i="3"/>
  <c r="F451" i="3"/>
  <c r="E451" i="3"/>
  <c r="D451" i="3"/>
  <c r="B451" i="3"/>
  <c r="C451" i="3" s="1"/>
  <c r="A451" i="3"/>
  <c r="I451" i="3" s="1"/>
  <c r="G450" i="3"/>
  <c r="F450" i="3"/>
  <c r="E450" i="3"/>
  <c r="D450" i="3"/>
  <c r="B450" i="3"/>
  <c r="C450" i="3" s="1"/>
  <c r="A450" i="3"/>
  <c r="G449" i="3"/>
  <c r="F449" i="3"/>
  <c r="E449" i="3"/>
  <c r="D449" i="3"/>
  <c r="B449" i="3"/>
  <c r="C449" i="3" s="1"/>
  <c r="A449" i="3"/>
  <c r="I449" i="3" s="1"/>
  <c r="G448" i="3"/>
  <c r="F448" i="3"/>
  <c r="E448" i="3"/>
  <c r="D448" i="3"/>
  <c r="B448" i="3"/>
  <c r="C448" i="3" s="1"/>
  <c r="A448" i="3"/>
  <c r="I448" i="3" s="1"/>
  <c r="G447" i="3"/>
  <c r="F447" i="3"/>
  <c r="E447" i="3"/>
  <c r="D447" i="3"/>
  <c r="B447" i="3"/>
  <c r="C447" i="3" s="1"/>
  <c r="A447" i="3"/>
  <c r="I447" i="3" s="1"/>
  <c r="G446" i="3"/>
  <c r="F446" i="3"/>
  <c r="E446" i="3"/>
  <c r="D446" i="3"/>
  <c r="B446" i="3"/>
  <c r="C446" i="3" s="1"/>
  <c r="A446" i="3"/>
  <c r="H446" i="3" s="1"/>
  <c r="G445" i="3"/>
  <c r="F445" i="3"/>
  <c r="E445" i="3"/>
  <c r="D445" i="3"/>
  <c r="B445" i="3"/>
  <c r="C445" i="3" s="1"/>
  <c r="A445" i="3"/>
  <c r="I445" i="3" s="1"/>
  <c r="G444" i="3"/>
  <c r="F444" i="3"/>
  <c r="E444" i="3"/>
  <c r="D444" i="3"/>
  <c r="B444" i="3"/>
  <c r="C444" i="3" s="1"/>
  <c r="A444" i="3"/>
  <c r="I444" i="3" s="1"/>
  <c r="G443" i="3"/>
  <c r="F443" i="3"/>
  <c r="E443" i="3"/>
  <c r="D443" i="3"/>
  <c r="B443" i="3"/>
  <c r="C443" i="3" s="1"/>
  <c r="A443" i="3"/>
  <c r="I443" i="3" s="1"/>
  <c r="G442" i="3"/>
  <c r="F442" i="3"/>
  <c r="E442" i="3"/>
  <c r="D442" i="3"/>
  <c r="B442" i="3"/>
  <c r="C442" i="3" s="1"/>
  <c r="A442" i="3"/>
  <c r="H442" i="3" s="1"/>
  <c r="G441" i="3"/>
  <c r="F441" i="3"/>
  <c r="E441" i="3"/>
  <c r="D441" i="3"/>
  <c r="B441" i="3"/>
  <c r="C441" i="3" s="1"/>
  <c r="A441" i="3"/>
  <c r="I441" i="3" s="1"/>
  <c r="G440" i="3"/>
  <c r="F440" i="3"/>
  <c r="E440" i="3"/>
  <c r="D440" i="3"/>
  <c r="B440" i="3"/>
  <c r="C440" i="3" s="1"/>
  <c r="A440" i="3"/>
  <c r="I440" i="3" s="1"/>
  <c r="G439" i="3"/>
  <c r="F439" i="3"/>
  <c r="E439" i="3"/>
  <c r="D439" i="3"/>
  <c r="B439" i="3"/>
  <c r="C439" i="3" s="1"/>
  <c r="A439" i="3"/>
  <c r="H439" i="3" s="1"/>
  <c r="G438" i="3"/>
  <c r="F438" i="3"/>
  <c r="E438" i="3"/>
  <c r="D438" i="3"/>
  <c r="B438" i="3"/>
  <c r="C438" i="3" s="1"/>
  <c r="A438" i="3"/>
  <c r="G437" i="3"/>
  <c r="F437" i="3"/>
  <c r="E437" i="3"/>
  <c r="D437" i="3"/>
  <c r="B437" i="3"/>
  <c r="C437" i="3" s="1"/>
  <c r="A437" i="3"/>
  <c r="G436" i="3"/>
  <c r="F436" i="3"/>
  <c r="E436" i="3"/>
  <c r="D436" i="3"/>
  <c r="B436" i="3"/>
  <c r="C436" i="3" s="1"/>
  <c r="A436" i="3"/>
  <c r="G435" i="3"/>
  <c r="F435" i="3"/>
  <c r="E435" i="3"/>
  <c r="D435" i="3"/>
  <c r="B435" i="3"/>
  <c r="C435" i="3" s="1"/>
  <c r="A435" i="3"/>
  <c r="I435" i="3" s="1"/>
  <c r="G434" i="3"/>
  <c r="F434" i="3"/>
  <c r="E434" i="3"/>
  <c r="D434" i="3"/>
  <c r="B434" i="3"/>
  <c r="C434" i="3" s="1"/>
  <c r="A434" i="3"/>
  <c r="G433" i="3"/>
  <c r="F433" i="3"/>
  <c r="E433" i="3"/>
  <c r="D433" i="3"/>
  <c r="B433" i="3"/>
  <c r="C433" i="3" s="1"/>
  <c r="A433" i="3"/>
  <c r="G432" i="3"/>
  <c r="F432" i="3"/>
  <c r="E432" i="3"/>
  <c r="D432" i="3"/>
  <c r="B432" i="3"/>
  <c r="C432" i="3" s="1"/>
  <c r="A432" i="3"/>
  <c r="G431" i="3"/>
  <c r="F431" i="3"/>
  <c r="E431" i="3"/>
  <c r="D431" i="3"/>
  <c r="B431" i="3"/>
  <c r="C431" i="3" s="1"/>
  <c r="A431" i="3"/>
  <c r="G430" i="3"/>
  <c r="F430" i="3"/>
  <c r="E430" i="3"/>
  <c r="D430" i="3"/>
  <c r="B430" i="3"/>
  <c r="C430" i="3" s="1"/>
  <c r="A430" i="3"/>
  <c r="H430" i="3" s="1"/>
  <c r="G429" i="3"/>
  <c r="F429" i="3"/>
  <c r="E429" i="3"/>
  <c r="D429" i="3"/>
  <c r="B429" i="3"/>
  <c r="C429" i="3" s="1"/>
  <c r="A429" i="3"/>
  <c r="I429" i="3" s="1"/>
  <c r="G428" i="3"/>
  <c r="F428" i="3"/>
  <c r="E428" i="3"/>
  <c r="D428" i="3"/>
  <c r="B428" i="3"/>
  <c r="C428" i="3" s="1"/>
  <c r="A428" i="3"/>
  <c r="I428" i="3" s="1"/>
  <c r="G427" i="3"/>
  <c r="F427" i="3"/>
  <c r="E427" i="3"/>
  <c r="D427" i="3"/>
  <c r="B427" i="3"/>
  <c r="C427" i="3" s="1"/>
  <c r="A427" i="3"/>
  <c r="I427" i="3" s="1"/>
  <c r="G426" i="3"/>
  <c r="F426" i="3"/>
  <c r="E426" i="3"/>
  <c r="D426" i="3"/>
  <c r="B426" i="3"/>
  <c r="C426" i="3" s="1"/>
  <c r="A426" i="3"/>
  <c r="H426" i="3" s="1"/>
  <c r="G425" i="3"/>
  <c r="F425" i="3"/>
  <c r="E425" i="3"/>
  <c r="D425" i="3"/>
  <c r="B425" i="3"/>
  <c r="C425" i="3" s="1"/>
  <c r="A425" i="3"/>
  <c r="I425" i="3" s="1"/>
  <c r="G424" i="3"/>
  <c r="F424" i="3"/>
  <c r="E424" i="3"/>
  <c r="D424" i="3"/>
  <c r="B424" i="3"/>
  <c r="C424" i="3" s="1"/>
  <c r="A424" i="3"/>
  <c r="I424" i="3" s="1"/>
  <c r="G423" i="3"/>
  <c r="F423" i="3"/>
  <c r="E423" i="3"/>
  <c r="D423" i="3"/>
  <c r="B423" i="3"/>
  <c r="C423" i="3" s="1"/>
  <c r="A423" i="3"/>
  <c r="G422" i="3"/>
  <c r="F422" i="3"/>
  <c r="E422" i="3"/>
  <c r="D422" i="3"/>
  <c r="B422" i="3"/>
  <c r="C422" i="3" s="1"/>
  <c r="A422" i="3"/>
  <c r="H422" i="3" s="1"/>
  <c r="G421" i="3"/>
  <c r="F421" i="3"/>
  <c r="E421" i="3"/>
  <c r="D421" i="3"/>
  <c r="B421" i="3"/>
  <c r="C421" i="3" s="1"/>
  <c r="A421" i="3"/>
  <c r="I421" i="3" s="1"/>
  <c r="G420" i="3"/>
  <c r="F420" i="3"/>
  <c r="E420" i="3"/>
  <c r="D420" i="3"/>
  <c r="B420" i="3"/>
  <c r="C420" i="3" s="1"/>
  <c r="A420" i="3"/>
  <c r="I420" i="3" s="1"/>
  <c r="G419" i="3"/>
  <c r="F419" i="3"/>
  <c r="E419" i="3"/>
  <c r="D419" i="3"/>
  <c r="B419" i="3"/>
  <c r="C419" i="3" s="1"/>
  <c r="A419" i="3"/>
  <c r="I419" i="3" s="1"/>
  <c r="G418" i="3"/>
  <c r="F418" i="3"/>
  <c r="E418" i="3"/>
  <c r="D418" i="3"/>
  <c r="B418" i="3"/>
  <c r="C418" i="3" s="1"/>
  <c r="A418" i="3"/>
  <c r="H418" i="3" s="1"/>
  <c r="G417" i="3"/>
  <c r="F417" i="3"/>
  <c r="E417" i="3"/>
  <c r="D417" i="3"/>
  <c r="B417" i="3"/>
  <c r="C417" i="3" s="1"/>
  <c r="A417" i="3"/>
  <c r="I417" i="3" s="1"/>
  <c r="G416" i="3"/>
  <c r="F416" i="3"/>
  <c r="E416" i="3"/>
  <c r="D416" i="3"/>
  <c r="B416" i="3"/>
  <c r="C416" i="3" s="1"/>
  <c r="A416" i="3"/>
  <c r="H416" i="3" s="1"/>
  <c r="G415" i="3"/>
  <c r="F415" i="3"/>
  <c r="E415" i="3"/>
  <c r="D415" i="3"/>
  <c r="B415" i="3"/>
  <c r="C415" i="3" s="1"/>
  <c r="A415" i="3"/>
  <c r="H415" i="3" s="1"/>
  <c r="G414" i="3"/>
  <c r="F414" i="3"/>
  <c r="E414" i="3"/>
  <c r="D414" i="3"/>
  <c r="B414" i="3"/>
  <c r="C414" i="3" s="1"/>
  <c r="A414" i="3"/>
  <c r="G413" i="3"/>
  <c r="F413" i="3"/>
  <c r="E413" i="3"/>
  <c r="D413" i="3"/>
  <c r="B413" i="3"/>
  <c r="C413" i="3" s="1"/>
  <c r="A413" i="3"/>
  <c r="I413" i="3" s="1"/>
  <c r="G412" i="3"/>
  <c r="F412" i="3"/>
  <c r="E412" i="3"/>
  <c r="D412" i="3"/>
  <c r="B412" i="3"/>
  <c r="C412" i="3" s="1"/>
  <c r="A412" i="3"/>
  <c r="H412" i="3" s="1"/>
  <c r="G411" i="3"/>
  <c r="F411" i="3"/>
  <c r="E411" i="3"/>
  <c r="D411" i="3"/>
  <c r="B411" i="3"/>
  <c r="C411" i="3" s="1"/>
  <c r="A411" i="3"/>
  <c r="G410" i="3"/>
  <c r="F410" i="3"/>
  <c r="E410" i="3"/>
  <c r="D410" i="3"/>
  <c r="B410" i="3"/>
  <c r="C410" i="3" s="1"/>
  <c r="A410" i="3"/>
  <c r="G409" i="3"/>
  <c r="F409" i="3"/>
  <c r="E409" i="3"/>
  <c r="D409" i="3"/>
  <c r="B409" i="3"/>
  <c r="C409" i="3" s="1"/>
  <c r="A409" i="3"/>
  <c r="I409" i="3" s="1"/>
  <c r="G408" i="3"/>
  <c r="F408" i="3"/>
  <c r="E408" i="3"/>
  <c r="D408" i="3"/>
  <c r="B408" i="3"/>
  <c r="C408" i="3" s="1"/>
  <c r="A408" i="3"/>
  <c r="I408" i="3" s="1"/>
  <c r="G407" i="3"/>
  <c r="F407" i="3"/>
  <c r="E407" i="3"/>
  <c r="D407" i="3"/>
  <c r="B407" i="3"/>
  <c r="C407" i="3" s="1"/>
  <c r="A407" i="3"/>
  <c r="I407" i="3" s="1"/>
  <c r="G406" i="3"/>
  <c r="F406" i="3"/>
  <c r="E406" i="3"/>
  <c r="D406" i="3"/>
  <c r="B406" i="3"/>
  <c r="C406" i="3" s="1"/>
  <c r="A406" i="3"/>
  <c r="H406" i="3" s="1"/>
  <c r="G405" i="3"/>
  <c r="F405" i="3"/>
  <c r="E405" i="3"/>
  <c r="D405" i="3"/>
  <c r="B405" i="3"/>
  <c r="C405" i="3" s="1"/>
  <c r="A405" i="3"/>
  <c r="I405" i="3" s="1"/>
  <c r="G404" i="3"/>
  <c r="F404" i="3"/>
  <c r="E404" i="3"/>
  <c r="D404" i="3"/>
  <c r="B404" i="3"/>
  <c r="C404" i="3" s="1"/>
  <c r="A404" i="3"/>
  <c r="H404" i="3" s="1"/>
  <c r="G403" i="3"/>
  <c r="F403" i="3"/>
  <c r="E403" i="3"/>
  <c r="D403" i="3"/>
  <c r="B403" i="3"/>
  <c r="C403" i="3" s="1"/>
  <c r="A403" i="3"/>
  <c r="G402" i="3"/>
  <c r="F402" i="3"/>
  <c r="E402" i="3"/>
  <c r="D402" i="3"/>
  <c r="B402" i="3"/>
  <c r="C402" i="3" s="1"/>
  <c r="A402" i="3"/>
  <c r="G401" i="3"/>
  <c r="F401" i="3"/>
  <c r="E401" i="3"/>
  <c r="D401" i="3"/>
  <c r="B401" i="3"/>
  <c r="C401" i="3" s="1"/>
  <c r="A401" i="3"/>
  <c r="I401" i="3" s="1"/>
  <c r="G400" i="3"/>
  <c r="F400" i="3"/>
  <c r="E400" i="3"/>
  <c r="D400" i="3"/>
  <c r="B400" i="3"/>
  <c r="C400" i="3" s="1"/>
  <c r="A400" i="3"/>
  <c r="I400" i="3" s="1"/>
  <c r="G399" i="3"/>
  <c r="F399" i="3"/>
  <c r="E399" i="3"/>
  <c r="D399" i="3"/>
  <c r="B399" i="3"/>
  <c r="C399" i="3" s="1"/>
  <c r="A399" i="3"/>
  <c r="G398" i="3"/>
  <c r="F398" i="3"/>
  <c r="E398" i="3"/>
  <c r="D398" i="3"/>
  <c r="B398" i="3"/>
  <c r="C398" i="3" s="1"/>
  <c r="A398" i="3"/>
  <c r="H398" i="3" s="1"/>
  <c r="G397" i="3"/>
  <c r="F397" i="3"/>
  <c r="E397" i="3"/>
  <c r="D397" i="3"/>
  <c r="B397" i="3"/>
  <c r="C397" i="3" s="1"/>
  <c r="A397" i="3"/>
  <c r="I397" i="3" s="1"/>
  <c r="G396" i="3"/>
  <c r="F396" i="3"/>
  <c r="E396" i="3"/>
  <c r="D396" i="3"/>
  <c r="B396" i="3"/>
  <c r="C396" i="3" s="1"/>
  <c r="A396" i="3"/>
  <c r="H396" i="3" s="1"/>
  <c r="G395" i="3"/>
  <c r="F395" i="3"/>
  <c r="E395" i="3"/>
  <c r="D395" i="3"/>
  <c r="B395" i="3"/>
  <c r="C395" i="3" s="1"/>
  <c r="A395" i="3"/>
  <c r="I395" i="3" s="1"/>
  <c r="G394" i="3"/>
  <c r="F394" i="3"/>
  <c r="E394" i="3"/>
  <c r="D394" i="3"/>
  <c r="B394" i="3"/>
  <c r="C394" i="3" s="1"/>
  <c r="A394" i="3"/>
  <c r="G393" i="3"/>
  <c r="F393" i="3"/>
  <c r="E393" i="3"/>
  <c r="D393" i="3"/>
  <c r="B393" i="3"/>
  <c r="C393" i="3" s="1"/>
  <c r="A393" i="3"/>
  <c r="G392" i="3"/>
  <c r="F392" i="3"/>
  <c r="E392" i="3"/>
  <c r="D392" i="3"/>
  <c r="B392" i="3"/>
  <c r="C392" i="3" s="1"/>
  <c r="A392" i="3"/>
  <c r="I392" i="3" s="1"/>
  <c r="G391" i="3"/>
  <c r="F391" i="3"/>
  <c r="E391" i="3"/>
  <c r="D391" i="3"/>
  <c r="B391" i="3"/>
  <c r="C391" i="3" s="1"/>
  <c r="A391" i="3"/>
  <c r="I391" i="3" s="1"/>
  <c r="G390" i="3"/>
  <c r="F390" i="3"/>
  <c r="E390" i="3"/>
  <c r="D390" i="3"/>
  <c r="B390" i="3"/>
  <c r="C390" i="3" s="1"/>
  <c r="A390" i="3"/>
  <c r="H390" i="3" s="1"/>
  <c r="G389" i="3"/>
  <c r="F389" i="3"/>
  <c r="E389" i="3"/>
  <c r="D389" i="3"/>
  <c r="B389" i="3"/>
  <c r="C389" i="3" s="1"/>
  <c r="A389" i="3"/>
  <c r="I389" i="3" s="1"/>
  <c r="G388" i="3"/>
  <c r="F388" i="3"/>
  <c r="E388" i="3"/>
  <c r="D388" i="3"/>
  <c r="B388" i="3"/>
  <c r="C388" i="3" s="1"/>
  <c r="A388" i="3"/>
  <c r="I388" i="3" s="1"/>
  <c r="G387" i="3"/>
  <c r="F387" i="3"/>
  <c r="E387" i="3"/>
  <c r="D387" i="3"/>
  <c r="B387" i="3"/>
  <c r="C387" i="3" s="1"/>
  <c r="A387" i="3"/>
  <c r="I387" i="3" s="1"/>
  <c r="G386" i="3"/>
  <c r="F386" i="3"/>
  <c r="E386" i="3"/>
  <c r="D386" i="3"/>
  <c r="B386" i="3"/>
  <c r="C386" i="3" s="1"/>
  <c r="A386" i="3"/>
  <c r="H386" i="3" s="1"/>
  <c r="G385" i="3"/>
  <c r="F385" i="3"/>
  <c r="E385" i="3"/>
  <c r="D385" i="3"/>
  <c r="B385" i="3"/>
  <c r="C385" i="3" s="1"/>
  <c r="A385" i="3"/>
  <c r="G384" i="3"/>
  <c r="F384" i="3"/>
  <c r="E384" i="3"/>
  <c r="D384" i="3"/>
  <c r="B384" i="3"/>
  <c r="C384" i="3" s="1"/>
  <c r="A384" i="3"/>
  <c r="G383" i="3"/>
  <c r="F383" i="3"/>
  <c r="E383" i="3"/>
  <c r="D383" i="3"/>
  <c r="B383" i="3"/>
  <c r="C383" i="3" s="1"/>
  <c r="A383" i="3"/>
  <c r="H383" i="3" s="1"/>
  <c r="G382" i="3"/>
  <c r="F382" i="3"/>
  <c r="E382" i="3"/>
  <c r="D382" i="3"/>
  <c r="B382" i="3"/>
  <c r="C382" i="3" s="1"/>
  <c r="A382" i="3"/>
  <c r="G381" i="3"/>
  <c r="F381" i="3"/>
  <c r="E381" i="3"/>
  <c r="D381" i="3"/>
  <c r="B381" i="3"/>
  <c r="C381" i="3" s="1"/>
  <c r="A381" i="3"/>
  <c r="G380" i="3"/>
  <c r="F380" i="3"/>
  <c r="E380" i="3"/>
  <c r="D380" i="3"/>
  <c r="B380" i="3"/>
  <c r="C380" i="3" s="1"/>
  <c r="A380" i="3"/>
  <c r="H380" i="3" s="1"/>
  <c r="G379" i="3"/>
  <c r="F379" i="3"/>
  <c r="E379" i="3"/>
  <c r="D379" i="3"/>
  <c r="B379" i="3"/>
  <c r="C379" i="3" s="1"/>
  <c r="A379" i="3"/>
  <c r="I379" i="3" s="1"/>
  <c r="G378" i="3"/>
  <c r="F378" i="3"/>
  <c r="E378" i="3"/>
  <c r="D378" i="3"/>
  <c r="B378" i="3"/>
  <c r="C378" i="3" s="1"/>
  <c r="A378" i="3"/>
  <c r="G377" i="3"/>
  <c r="F377" i="3"/>
  <c r="E377" i="3"/>
  <c r="D377" i="3"/>
  <c r="B377" i="3"/>
  <c r="C377" i="3" s="1"/>
  <c r="A377" i="3"/>
  <c r="G376" i="3"/>
  <c r="F376" i="3"/>
  <c r="E376" i="3"/>
  <c r="D376" i="3"/>
  <c r="B376" i="3"/>
  <c r="C376" i="3" s="1"/>
  <c r="A376" i="3"/>
  <c r="I376" i="3" s="1"/>
  <c r="G375" i="3"/>
  <c r="F375" i="3"/>
  <c r="E375" i="3"/>
  <c r="D375" i="3"/>
  <c r="B375" i="3"/>
  <c r="C375" i="3" s="1"/>
  <c r="A375" i="3"/>
  <c r="H375" i="3" s="1"/>
  <c r="G374" i="3"/>
  <c r="F374" i="3"/>
  <c r="E374" i="3"/>
  <c r="D374" i="3"/>
  <c r="B374" i="3"/>
  <c r="C374" i="3" s="1"/>
  <c r="A374" i="3"/>
  <c r="H374" i="3" s="1"/>
  <c r="G373" i="3"/>
  <c r="F373" i="3"/>
  <c r="E373" i="3"/>
  <c r="D373" i="3"/>
  <c r="B373" i="3"/>
  <c r="C373" i="3" s="1"/>
  <c r="A373" i="3"/>
  <c r="I373" i="3" s="1"/>
  <c r="G372" i="3"/>
  <c r="F372" i="3"/>
  <c r="E372" i="3"/>
  <c r="D372" i="3"/>
  <c r="B372" i="3"/>
  <c r="C372" i="3" s="1"/>
  <c r="A372" i="3"/>
  <c r="I372" i="3" s="1"/>
  <c r="G371" i="3"/>
  <c r="F371" i="3"/>
  <c r="E371" i="3"/>
  <c r="D371" i="3"/>
  <c r="B371" i="3"/>
  <c r="C371" i="3" s="1"/>
  <c r="A371" i="3"/>
  <c r="I371" i="3" s="1"/>
  <c r="G370" i="3"/>
  <c r="F370" i="3"/>
  <c r="E370" i="3"/>
  <c r="D370" i="3"/>
  <c r="B370" i="3"/>
  <c r="C370" i="3" s="1"/>
  <c r="A370" i="3"/>
  <c r="H370" i="3" s="1"/>
  <c r="G369" i="3"/>
  <c r="F369" i="3"/>
  <c r="E369" i="3"/>
  <c r="D369" i="3"/>
  <c r="B369" i="3"/>
  <c r="C369" i="3" s="1"/>
  <c r="A369" i="3"/>
  <c r="I369" i="3" s="1"/>
  <c r="G368" i="3"/>
  <c r="F368" i="3"/>
  <c r="E368" i="3"/>
  <c r="D368" i="3"/>
  <c r="B368" i="3"/>
  <c r="C368" i="3" s="1"/>
  <c r="A368" i="3"/>
  <c r="I368" i="3" s="1"/>
  <c r="G367" i="3"/>
  <c r="F367" i="3"/>
  <c r="E367" i="3"/>
  <c r="D367" i="3"/>
  <c r="B367" i="3"/>
  <c r="C367" i="3" s="1"/>
  <c r="A367" i="3"/>
  <c r="H367" i="3" s="1"/>
  <c r="G366" i="3"/>
  <c r="F366" i="3"/>
  <c r="E366" i="3"/>
  <c r="D366" i="3"/>
  <c r="B366" i="3"/>
  <c r="C366" i="3" s="1"/>
  <c r="A366" i="3"/>
  <c r="H366" i="3" s="1"/>
  <c r="G365" i="3"/>
  <c r="F365" i="3"/>
  <c r="E365" i="3"/>
  <c r="D365" i="3"/>
  <c r="B365" i="3"/>
  <c r="C365" i="3" s="1"/>
  <c r="A365" i="3"/>
  <c r="I365" i="3" s="1"/>
  <c r="G364" i="3"/>
  <c r="F364" i="3"/>
  <c r="E364" i="3"/>
  <c r="D364" i="3"/>
  <c r="B364" i="3"/>
  <c r="C364" i="3" s="1"/>
  <c r="A364" i="3"/>
  <c r="G363" i="3"/>
  <c r="F363" i="3"/>
  <c r="E363" i="3"/>
  <c r="D363" i="3"/>
  <c r="B363" i="3"/>
  <c r="C363" i="3" s="1"/>
  <c r="A363" i="3"/>
  <c r="I363" i="3" s="1"/>
  <c r="G362" i="3"/>
  <c r="F362" i="3"/>
  <c r="E362" i="3"/>
  <c r="D362" i="3"/>
  <c r="B362" i="3"/>
  <c r="C362" i="3" s="1"/>
  <c r="A362" i="3"/>
  <c r="G361" i="3"/>
  <c r="F361" i="3"/>
  <c r="E361" i="3"/>
  <c r="D361" i="3"/>
  <c r="B361" i="3"/>
  <c r="C361" i="3" s="1"/>
  <c r="A361" i="3"/>
  <c r="G360" i="3"/>
  <c r="F360" i="3"/>
  <c r="E360" i="3"/>
  <c r="D360" i="3"/>
  <c r="B360" i="3"/>
  <c r="C360" i="3" s="1"/>
  <c r="A360" i="3"/>
  <c r="I360" i="3" s="1"/>
  <c r="G359" i="3"/>
  <c r="F359" i="3"/>
  <c r="E359" i="3"/>
  <c r="D359" i="3"/>
  <c r="B359" i="3"/>
  <c r="C359" i="3" s="1"/>
  <c r="A359" i="3"/>
  <c r="I359" i="3" s="1"/>
  <c r="G358" i="3"/>
  <c r="F358" i="3"/>
  <c r="E358" i="3"/>
  <c r="D358" i="3"/>
  <c r="B358" i="3"/>
  <c r="C358" i="3" s="1"/>
  <c r="A358" i="3"/>
  <c r="I358" i="3" s="1"/>
  <c r="G357" i="3"/>
  <c r="F357" i="3"/>
  <c r="E357" i="3"/>
  <c r="D357" i="3"/>
  <c r="B357" i="3"/>
  <c r="C357" i="3" s="1"/>
  <c r="A357" i="3"/>
  <c r="H357" i="3" s="1"/>
  <c r="G356" i="3"/>
  <c r="F356" i="3"/>
  <c r="E356" i="3"/>
  <c r="D356" i="3"/>
  <c r="B356" i="3"/>
  <c r="C356" i="3" s="1"/>
  <c r="A356" i="3"/>
  <c r="I356" i="3" s="1"/>
  <c r="G355" i="3"/>
  <c r="F355" i="3"/>
  <c r="E355" i="3"/>
  <c r="D355" i="3"/>
  <c r="B355" i="3"/>
  <c r="C355" i="3" s="1"/>
  <c r="A355" i="3"/>
  <c r="I355" i="3" s="1"/>
  <c r="G354" i="3"/>
  <c r="F354" i="3"/>
  <c r="E354" i="3"/>
  <c r="D354" i="3"/>
  <c r="B354" i="3"/>
  <c r="C354" i="3" s="1"/>
  <c r="A354" i="3"/>
  <c r="I354" i="3" s="1"/>
  <c r="G353" i="3"/>
  <c r="F353" i="3"/>
  <c r="E353" i="3"/>
  <c r="D353" i="3"/>
  <c r="B353" i="3"/>
  <c r="C353" i="3" s="1"/>
  <c r="A353" i="3"/>
  <c r="H353" i="3" s="1"/>
  <c r="G352" i="3"/>
  <c r="F352" i="3"/>
  <c r="E352" i="3"/>
  <c r="D352" i="3"/>
  <c r="B352" i="3"/>
  <c r="C352" i="3" s="1"/>
  <c r="A352" i="3"/>
  <c r="I352" i="3" s="1"/>
  <c r="G351" i="3"/>
  <c r="F351" i="3"/>
  <c r="E351" i="3"/>
  <c r="D351" i="3"/>
  <c r="B351" i="3"/>
  <c r="C351" i="3" s="1"/>
  <c r="A351" i="3"/>
  <c r="I351" i="3" s="1"/>
  <c r="G350" i="3"/>
  <c r="F350" i="3"/>
  <c r="E350" i="3"/>
  <c r="D350" i="3"/>
  <c r="B350" i="3"/>
  <c r="C350" i="3" s="1"/>
  <c r="A350" i="3"/>
  <c r="H350" i="3" s="1"/>
  <c r="G349" i="3"/>
  <c r="F349" i="3"/>
  <c r="E349" i="3"/>
  <c r="D349" i="3"/>
  <c r="B349" i="3"/>
  <c r="C349" i="3" s="1"/>
  <c r="A349" i="3"/>
  <c r="H349" i="3" s="1"/>
  <c r="G348" i="3"/>
  <c r="F348" i="3"/>
  <c r="E348" i="3"/>
  <c r="D348" i="3"/>
  <c r="B348" i="3"/>
  <c r="C348" i="3" s="1"/>
  <c r="A348" i="3"/>
  <c r="I348" i="3" s="1"/>
  <c r="G347" i="3"/>
  <c r="F347" i="3"/>
  <c r="E347" i="3"/>
  <c r="D347" i="3"/>
  <c r="B347" i="3"/>
  <c r="C347" i="3" s="1"/>
  <c r="A347" i="3"/>
  <c r="H347" i="3" s="1"/>
  <c r="G346" i="3"/>
  <c r="F346" i="3"/>
  <c r="E346" i="3"/>
  <c r="D346" i="3"/>
  <c r="B346" i="3"/>
  <c r="C346" i="3" s="1"/>
  <c r="A346" i="3"/>
  <c r="G345" i="3"/>
  <c r="F345" i="3"/>
  <c r="E345" i="3"/>
  <c r="D345" i="3"/>
  <c r="B345" i="3"/>
  <c r="C345" i="3" s="1"/>
  <c r="A345" i="3"/>
  <c r="G344" i="3"/>
  <c r="F344" i="3"/>
  <c r="E344" i="3"/>
  <c r="D344" i="3"/>
  <c r="B344" i="3"/>
  <c r="C344" i="3" s="1"/>
  <c r="A344" i="3"/>
  <c r="G343" i="3"/>
  <c r="F343" i="3"/>
  <c r="E343" i="3"/>
  <c r="D343" i="3"/>
  <c r="B343" i="3"/>
  <c r="C343" i="3" s="1"/>
  <c r="A343" i="3"/>
  <c r="G342" i="3"/>
  <c r="F342" i="3"/>
  <c r="E342" i="3"/>
  <c r="D342" i="3"/>
  <c r="B342" i="3"/>
  <c r="C342" i="3" s="1"/>
  <c r="A342" i="3"/>
  <c r="G341" i="3"/>
  <c r="F341" i="3"/>
  <c r="E341" i="3"/>
  <c r="D341" i="3"/>
  <c r="B341" i="3"/>
  <c r="C341" i="3" s="1"/>
  <c r="A341" i="3"/>
  <c r="H341" i="3" s="1"/>
  <c r="G340" i="3"/>
  <c r="F340" i="3"/>
  <c r="E340" i="3"/>
  <c r="D340" i="3"/>
  <c r="B340" i="3"/>
  <c r="C340" i="3" s="1"/>
  <c r="A340" i="3"/>
  <c r="G339" i="3"/>
  <c r="F339" i="3"/>
  <c r="E339" i="3"/>
  <c r="D339" i="3"/>
  <c r="B339" i="3"/>
  <c r="C339" i="3" s="1"/>
  <c r="A339" i="3"/>
  <c r="I339" i="3" s="1"/>
  <c r="G338" i="3"/>
  <c r="F338" i="3"/>
  <c r="E338" i="3"/>
  <c r="D338" i="3"/>
  <c r="B338" i="3"/>
  <c r="C338" i="3" s="1"/>
  <c r="A338" i="3"/>
  <c r="H338" i="3" s="1"/>
  <c r="G337" i="3"/>
  <c r="F337" i="3"/>
  <c r="E337" i="3"/>
  <c r="D337" i="3"/>
  <c r="B337" i="3"/>
  <c r="C337" i="3" s="1"/>
  <c r="A337" i="3"/>
  <c r="H337" i="3" s="1"/>
  <c r="G336" i="3"/>
  <c r="F336" i="3"/>
  <c r="E336" i="3"/>
  <c r="D336" i="3"/>
  <c r="B336" i="3"/>
  <c r="C336" i="3" s="1"/>
  <c r="A336" i="3"/>
  <c r="I336" i="3" s="1"/>
  <c r="G335" i="3"/>
  <c r="F335" i="3"/>
  <c r="E335" i="3"/>
  <c r="D335" i="3"/>
  <c r="B335" i="3"/>
  <c r="C335" i="3" s="1"/>
  <c r="A335" i="3"/>
  <c r="H335" i="3" s="1"/>
  <c r="G334" i="3"/>
  <c r="F334" i="3"/>
  <c r="E334" i="3"/>
  <c r="D334" i="3"/>
  <c r="B334" i="3"/>
  <c r="C334" i="3" s="1"/>
  <c r="A334" i="3"/>
  <c r="H334" i="3" s="1"/>
  <c r="G333" i="3"/>
  <c r="F333" i="3"/>
  <c r="E333" i="3"/>
  <c r="D333" i="3"/>
  <c r="B333" i="3"/>
  <c r="C333" i="3" s="1"/>
  <c r="A333" i="3"/>
  <c r="H333" i="3" s="1"/>
  <c r="G332" i="3"/>
  <c r="F332" i="3"/>
  <c r="E332" i="3"/>
  <c r="D332" i="3"/>
  <c r="B332" i="3"/>
  <c r="C332" i="3" s="1"/>
  <c r="A332" i="3"/>
  <c r="I332" i="3" s="1"/>
  <c r="G331" i="3"/>
  <c r="F331" i="3"/>
  <c r="E331" i="3"/>
  <c r="D331" i="3"/>
  <c r="B331" i="3"/>
  <c r="C331" i="3" s="1"/>
  <c r="A331" i="3"/>
  <c r="H331" i="3" s="1"/>
  <c r="G330" i="3"/>
  <c r="F330" i="3"/>
  <c r="E330" i="3"/>
  <c r="D330" i="3"/>
  <c r="B330" i="3"/>
  <c r="C330" i="3" s="1"/>
  <c r="A330" i="3"/>
  <c r="I330" i="3" s="1"/>
  <c r="G329" i="3"/>
  <c r="F329" i="3"/>
  <c r="E329" i="3"/>
  <c r="D329" i="3"/>
  <c r="B329" i="3"/>
  <c r="C329" i="3" s="1"/>
  <c r="A329" i="3"/>
  <c r="G328" i="3"/>
  <c r="F328" i="3"/>
  <c r="E328" i="3"/>
  <c r="D328" i="3"/>
  <c r="B328" i="3"/>
  <c r="C328" i="3" s="1"/>
  <c r="A328" i="3"/>
  <c r="G327" i="3"/>
  <c r="F327" i="3"/>
  <c r="E327" i="3"/>
  <c r="D327" i="3"/>
  <c r="B327" i="3"/>
  <c r="C327" i="3" s="1"/>
  <c r="A327" i="3"/>
  <c r="G326" i="3"/>
  <c r="F326" i="3"/>
  <c r="E326" i="3"/>
  <c r="D326" i="3"/>
  <c r="B326" i="3"/>
  <c r="C326" i="3" s="1"/>
  <c r="A326" i="3"/>
  <c r="G325" i="3"/>
  <c r="F325" i="3"/>
  <c r="E325" i="3"/>
  <c r="D325" i="3"/>
  <c r="B325" i="3"/>
  <c r="C325" i="3" s="1"/>
  <c r="A325" i="3"/>
  <c r="G324" i="3"/>
  <c r="F324" i="3"/>
  <c r="E324" i="3"/>
  <c r="D324" i="3"/>
  <c r="B324" i="3"/>
  <c r="C324" i="3" s="1"/>
  <c r="A324" i="3"/>
  <c r="G323" i="3"/>
  <c r="F323" i="3"/>
  <c r="E323" i="3"/>
  <c r="D323" i="3"/>
  <c r="B323" i="3"/>
  <c r="C323" i="3" s="1"/>
  <c r="A323" i="3"/>
  <c r="H323" i="3" s="1"/>
  <c r="G322" i="3"/>
  <c r="F322" i="3"/>
  <c r="E322" i="3"/>
  <c r="D322" i="3"/>
  <c r="B322" i="3"/>
  <c r="C322" i="3" s="1"/>
  <c r="A322" i="3"/>
  <c r="I322" i="3" s="1"/>
  <c r="G321" i="3"/>
  <c r="F321" i="3"/>
  <c r="E321" i="3"/>
  <c r="D321" i="3"/>
  <c r="B321" i="3"/>
  <c r="C321" i="3" s="1"/>
  <c r="A321" i="3"/>
  <c r="H321" i="3" s="1"/>
  <c r="G320" i="3"/>
  <c r="F320" i="3"/>
  <c r="E320" i="3"/>
  <c r="D320" i="3"/>
  <c r="B320" i="3"/>
  <c r="C320" i="3" s="1"/>
  <c r="A320" i="3"/>
  <c r="G319" i="3"/>
  <c r="F319" i="3"/>
  <c r="E319" i="3"/>
  <c r="D319" i="3"/>
  <c r="B319" i="3"/>
  <c r="C319" i="3" s="1"/>
  <c r="A319" i="3"/>
  <c r="I319" i="3" s="1"/>
  <c r="G318" i="3"/>
  <c r="F318" i="3"/>
  <c r="E318" i="3"/>
  <c r="D318" i="3"/>
  <c r="B318" i="3"/>
  <c r="C318" i="3" s="1"/>
  <c r="A318" i="3"/>
  <c r="H318" i="3" s="1"/>
  <c r="G317" i="3"/>
  <c r="F317" i="3"/>
  <c r="E317" i="3"/>
  <c r="D317" i="3"/>
  <c r="B317" i="3"/>
  <c r="C317" i="3" s="1"/>
  <c r="A317" i="3"/>
  <c r="H317" i="3" s="1"/>
  <c r="G316" i="3"/>
  <c r="F316" i="3"/>
  <c r="E316" i="3"/>
  <c r="D316" i="3"/>
  <c r="B316" i="3"/>
  <c r="C316" i="3" s="1"/>
  <c r="A316" i="3"/>
  <c r="G315" i="3"/>
  <c r="F315" i="3"/>
  <c r="E315" i="3"/>
  <c r="D315" i="3"/>
  <c r="B315" i="3"/>
  <c r="C315" i="3" s="1"/>
  <c r="A315" i="3"/>
  <c r="G314" i="3"/>
  <c r="F314" i="3"/>
  <c r="E314" i="3"/>
  <c r="D314" i="3"/>
  <c r="B314" i="3"/>
  <c r="C314" i="3" s="1"/>
  <c r="A314" i="3"/>
  <c r="G313" i="3"/>
  <c r="F313" i="3"/>
  <c r="E313" i="3"/>
  <c r="D313" i="3"/>
  <c r="B313" i="3"/>
  <c r="C313" i="3" s="1"/>
  <c r="A313" i="3"/>
  <c r="G312" i="3"/>
  <c r="F312" i="3"/>
  <c r="E312" i="3"/>
  <c r="D312" i="3"/>
  <c r="B312" i="3"/>
  <c r="C312" i="3" s="1"/>
  <c r="A312" i="3"/>
  <c r="G311" i="3"/>
  <c r="F311" i="3"/>
  <c r="E311" i="3"/>
  <c r="D311" i="3"/>
  <c r="B311" i="3"/>
  <c r="C311" i="3" s="1"/>
  <c r="A311" i="3"/>
  <c r="G310" i="3"/>
  <c r="F310" i="3"/>
  <c r="E310" i="3"/>
  <c r="D310" i="3"/>
  <c r="B310" i="3"/>
  <c r="C310" i="3" s="1"/>
  <c r="A310" i="3"/>
  <c r="H310" i="3" s="1"/>
  <c r="G309" i="3"/>
  <c r="F309" i="3"/>
  <c r="E309" i="3"/>
  <c r="D309" i="3"/>
  <c r="B309" i="3"/>
  <c r="C309" i="3" s="1"/>
  <c r="A309" i="3"/>
  <c r="I309" i="3" s="1"/>
  <c r="G308" i="3"/>
  <c r="F308" i="3"/>
  <c r="E308" i="3"/>
  <c r="D308" i="3"/>
  <c r="B308" i="3"/>
  <c r="C308" i="3" s="1"/>
  <c r="A308" i="3"/>
  <c r="H308" i="3" s="1"/>
  <c r="G307" i="3"/>
  <c r="F307" i="3"/>
  <c r="E307" i="3"/>
  <c r="D307" i="3"/>
  <c r="B307" i="3"/>
  <c r="C307" i="3" s="1"/>
  <c r="A307" i="3"/>
  <c r="G306" i="3"/>
  <c r="F306" i="3"/>
  <c r="E306" i="3"/>
  <c r="D306" i="3"/>
  <c r="B306" i="3"/>
  <c r="C306" i="3" s="1"/>
  <c r="A306" i="3"/>
  <c r="I306" i="3" s="1"/>
  <c r="G305" i="3"/>
  <c r="F305" i="3"/>
  <c r="E305" i="3"/>
  <c r="D305" i="3"/>
  <c r="B305" i="3"/>
  <c r="C305" i="3" s="1"/>
  <c r="A305" i="3"/>
  <c r="G304" i="3"/>
  <c r="F304" i="3"/>
  <c r="E304" i="3"/>
  <c r="D304" i="3"/>
  <c r="B304" i="3"/>
  <c r="C304" i="3" s="1"/>
  <c r="A304" i="3"/>
  <c r="H304" i="3" s="1"/>
  <c r="G303" i="3"/>
  <c r="F303" i="3"/>
  <c r="E303" i="3"/>
  <c r="D303" i="3"/>
  <c r="B303" i="3"/>
  <c r="C303" i="3" s="1"/>
  <c r="A303" i="3"/>
  <c r="G302" i="3"/>
  <c r="F302" i="3"/>
  <c r="E302" i="3"/>
  <c r="D302" i="3"/>
  <c r="B302" i="3"/>
  <c r="C302" i="3" s="1"/>
  <c r="A302" i="3"/>
  <c r="I302" i="3" s="1"/>
  <c r="G301" i="3"/>
  <c r="F301" i="3"/>
  <c r="E301" i="3"/>
  <c r="D301" i="3"/>
  <c r="B301" i="3"/>
  <c r="C301" i="3" s="1"/>
  <c r="A301" i="3"/>
  <c r="H301" i="3" s="1"/>
  <c r="G300" i="3"/>
  <c r="F300" i="3"/>
  <c r="E300" i="3"/>
  <c r="D300" i="3"/>
  <c r="B300" i="3"/>
  <c r="C300" i="3" s="1"/>
  <c r="A300" i="3"/>
  <c r="H300" i="3" s="1"/>
  <c r="G299" i="3"/>
  <c r="F299" i="3"/>
  <c r="E299" i="3"/>
  <c r="D299" i="3"/>
  <c r="B299" i="3"/>
  <c r="C299" i="3" s="1"/>
  <c r="A299" i="3"/>
  <c r="I299" i="3" s="1"/>
  <c r="G298" i="3"/>
  <c r="F298" i="3"/>
  <c r="E298" i="3"/>
  <c r="D298" i="3"/>
  <c r="B298" i="3"/>
  <c r="C298" i="3" s="1"/>
  <c r="A298" i="3"/>
  <c r="I298" i="3" s="1"/>
  <c r="G297" i="3"/>
  <c r="F297" i="3"/>
  <c r="E297" i="3"/>
  <c r="D297" i="3"/>
  <c r="B297" i="3"/>
  <c r="C297" i="3" s="1"/>
  <c r="A297" i="3"/>
  <c r="H297" i="3" s="1"/>
  <c r="G296" i="3"/>
  <c r="F296" i="3"/>
  <c r="E296" i="3"/>
  <c r="D296" i="3"/>
  <c r="B296" i="3"/>
  <c r="C296" i="3" s="1"/>
  <c r="A296" i="3"/>
  <c r="H296" i="3" s="1"/>
  <c r="G295" i="3"/>
  <c r="F295" i="3"/>
  <c r="E295" i="3"/>
  <c r="D295" i="3"/>
  <c r="B295" i="3"/>
  <c r="C295" i="3" s="1"/>
  <c r="A295" i="3"/>
  <c r="I295" i="3" s="1"/>
  <c r="G294" i="3"/>
  <c r="F294" i="3"/>
  <c r="E294" i="3"/>
  <c r="D294" i="3"/>
  <c r="B294" i="3"/>
  <c r="C294" i="3" s="1"/>
  <c r="A294" i="3"/>
  <c r="H294" i="3" s="1"/>
  <c r="G293" i="3"/>
  <c r="F293" i="3"/>
  <c r="E293" i="3"/>
  <c r="D293" i="3"/>
  <c r="B293" i="3"/>
  <c r="C293" i="3" s="1"/>
  <c r="A293" i="3"/>
  <c r="I293" i="3" s="1"/>
  <c r="G292" i="3"/>
  <c r="F292" i="3"/>
  <c r="E292" i="3"/>
  <c r="D292" i="3"/>
  <c r="B292" i="3"/>
  <c r="C292" i="3" s="1"/>
  <c r="A292" i="3"/>
  <c r="H292" i="3" s="1"/>
  <c r="G291" i="3"/>
  <c r="F291" i="3"/>
  <c r="E291" i="3"/>
  <c r="D291" i="3"/>
  <c r="B291" i="3"/>
  <c r="C291" i="3" s="1"/>
  <c r="A291" i="3"/>
  <c r="I291" i="3" s="1"/>
  <c r="G290" i="3"/>
  <c r="F290" i="3"/>
  <c r="E290" i="3"/>
  <c r="D290" i="3"/>
  <c r="B290" i="3"/>
  <c r="C290" i="3" s="1"/>
  <c r="A290" i="3"/>
  <c r="I290" i="3" s="1"/>
  <c r="G289" i="3"/>
  <c r="F289" i="3"/>
  <c r="E289" i="3"/>
  <c r="D289" i="3"/>
  <c r="B289" i="3"/>
  <c r="C289" i="3" s="1"/>
  <c r="A289" i="3"/>
  <c r="G288" i="3"/>
  <c r="F288" i="3"/>
  <c r="E288" i="3"/>
  <c r="D288" i="3"/>
  <c r="B288" i="3"/>
  <c r="C288" i="3" s="1"/>
  <c r="A288" i="3"/>
  <c r="H288" i="3" s="1"/>
  <c r="G287" i="3"/>
  <c r="F287" i="3"/>
  <c r="E287" i="3"/>
  <c r="D287" i="3"/>
  <c r="B287" i="3"/>
  <c r="C287" i="3" s="1"/>
  <c r="A287" i="3"/>
  <c r="G286" i="3"/>
  <c r="F286" i="3"/>
  <c r="E286" i="3"/>
  <c r="D286" i="3"/>
  <c r="B286" i="3"/>
  <c r="C286" i="3" s="1"/>
  <c r="A286" i="3"/>
  <c r="G285" i="3"/>
  <c r="F285" i="3"/>
  <c r="E285" i="3"/>
  <c r="D285" i="3"/>
  <c r="B285" i="3"/>
  <c r="C285" i="3" s="1"/>
  <c r="A285" i="3"/>
  <c r="G284" i="3"/>
  <c r="F284" i="3"/>
  <c r="E284" i="3"/>
  <c r="D284" i="3"/>
  <c r="B284" i="3"/>
  <c r="C284" i="3" s="1"/>
  <c r="A284" i="3"/>
  <c r="G283" i="3"/>
  <c r="F283" i="3"/>
  <c r="E283" i="3"/>
  <c r="D283" i="3"/>
  <c r="B283" i="3"/>
  <c r="C283" i="3" s="1"/>
  <c r="A283" i="3"/>
  <c r="G282" i="3"/>
  <c r="F282" i="3"/>
  <c r="E282" i="3"/>
  <c r="D282" i="3"/>
  <c r="B282" i="3"/>
  <c r="C282" i="3" s="1"/>
  <c r="A282" i="3"/>
  <c r="I282" i="3" s="1"/>
  <c r="G281" i="3"/>
  <c r="F281" i="3"/>
  <c r="E281" i="3"/>
  <c r="D281" i="3"/>
  <c r="B281" i="3"/>
  <c r="C281" i="3" s="1"/>
  <c r="A281" i="3"/>
  <c r="H281" i="3" s="1"/>
  <c r="G280" i="3"/>
  <c r="F280" i="3"/>
  <c r="E280" i="3"/>
  <c r="D280" i="3"/>
  <c r="B280" i="3"/>
  <c r="C280" i="3" s="1"/>
  <c r="A280" i="3"/>
  <c r="G279" i="3"/>
  <c r="F279" i="3"/>
  <c r="E279" i="3"/>
  <c r="D279" i="3"/>
  <c r="B279" i="3"/>
  <c r="C279" i="3" s="1"/>
  <c r="A279" i="3"/>
  <c r="G278" i="3"/>
  <c r="F278" i="3"/>
  <c r="E278" i="3"/>
  <c r="D278" i="3"/>
  <c r="B278" i="3"/>
  <c r="C278" i="3" s="1"/>
  <c r="A278" i="3"/>
  <c r="G277" i="3"/>
  <c r="F277" i="3"/>
  <c r="E277" i="3"/>
  <c r="D277" i="3"/>
  <c r="B277" i="3"/>
  <c r="C277" i="3" s="1"/>
  <c r="A277" i="3"/>
  <c r="G276" i="3"/>
  <c r="F276" i="3"/>
  <c r="E276" i="3"/>
  <c r="D276" i="3"/>
  <c r="B276" i="3"/>
  <c r="C276" i="3" s="1"/>
  <c r="A276" i="3"/>
  <c r="G275" i="3"/>
  <c r="F275" i="3"/>
  <c r="E275" i="3"/>
  <c r="D275" i="3"/>
  <c r="B275" i="3"/>
  <c r="C275" i="3" s="1"/>
  <c r="A275" i="3"/>
  <c r="G274" i="3"/>
  <c r="F274" i="3"/>
  <c r="E274" i="3"/>
  <c r="D274" i="3"/>
  <c r="B274" i="3"/>
  <c r="C274" i="3" s="1"/>
  <c r="A274" i="3"/>
  <c r="I274" i="3" s="1"/>
  <c r="G273" i="3"/>
  <c r="F273" i="3"/>
  <c r="E273" i="3"/>
  <c r="D273" i="3"/>
  <c r="B273" i="3"/>
  <c r="C273" i="3" s="1"/>
  <c r="A273" i="3"/>
  <c r="G272" i="3"/>
  <c r="F272" i="3"/>
  <c r="E272" i="3"/>
  <c r="D272" i="3"/>
  <c r="B272" i="3"/>
  <c r="C272" i="3" s="1"/>
  <c r="A272" i="3"/>
  <c r="H272" i="3" s="1"/>
  <c r="G271" i="3"/>
  <c r="F271" i="3"/>
  <c r="E271" i="3"/>
  <c r="D271" i="3"/>
  <c r="B271" i="3"/>
  <c r="C271" i="3" s="1"/>
  <c r="A271" i="3"/>
  <c r="G270" i="3"/>
  <c r="F270" i="3"/>
  <c r="E270" i="3"/>
  <c r="D270" i="3"/>
  <c r="B270" i="3"/>
  <c r="C270" i="3" s="1"/>
  <c r="A270" i="3"/>
  <c r="I270" i="3" s="1"/>
  <c r="G269" i="3"/>
  <c r="F269" i="3"/>
  <c r="E269" i="3"/>
  <c r="D269" i="3"/>
  <c r="B269" i="3"/>
  <c r="C269" i="3" s="1"/>
  <c r="A269" i="3"/>
  <c r="I269" i="3" s="1"/>
  <c r="G268" i="3"/>
  <c r="F268" i="3"/>
  <c r="E268" i="3"/>
  <c r="D268" i="3"/>
  <c r="B268" i="3"/>
  <c r="C268" i="3" s="1"/>
  <c r="A268" i="3"/>
  <c r="H268" i="3" s="1"/>
  <c r="G267" i="3"/>
  <c r="F267" i="3"/>
  <c r="E267" i="3"/>
  <c r="D267" i="3"/>
  <c r="B267" i="3"/>
  <c r="C267" i="3" s="1"/>
  <c r="A267" i="3"/>
  <c r="I267" i="3" s="1"/>
  <c r="G266" i="3"/>
  <c r="F266" i="3"/>
  <c r="E266" i="3"/>
  <c r="D266" i="3"/>
  <c r="B266" i="3"/>
  <c r="C266" i="3" s="1"/>
  <c r="A266" i="3"/>
  <c r="I266" i="3" s="1"/>
  <c r="G265" i="3"/>
  <c r="F265" i="3"/>
  <c r="E265" i="3"/>
  <c r="D265" i="3"/>
  <c r="B265" i="3"/>
  <c r="C265" i="3" s="1"/>
  <c r="A265" i="3"/>
  <c r="H265" i="3" s="1"/>
  <c r="G264" i="3"/>
  <c r="F264" i="3"/>
  <c r="E264" i="3"/>
  <c r="D264" i="3"/>
  <c r="B264" i="3"/>
  <c r="C264" i="3" s="1"/>
  <c r="A264" i="3"/>
  <c r="H264" i="3" s="1"/>
  <c r="G263" i="3"/>
  <c r="F263" i="3"/>
  <c r="E263" i="3"/>
  <c r="D263" i="3"/>
  <c r="B263" i="3"/>
  <c r="C263" i="3" s="1"/>
  <c r="A263" i="3"/>
  <c r="I263" i="3" s="1"/>
  <c r="G262" i="3"/>
  <c r="F262" i="3"/>
  <c r="E262" i="3"/>
  <c r="D262" i="3"/>
  <c r="B262" i="3"/>
  <c r="C262" i="3" s="1"/>
  <c r="A262" i="3"/>
  <c r="H262" i="3" s="1"/>
  <c r="G261" i="3"/>
  <c r="F261" i="3"/>
  <c r="E261" i="3"/>
  <c r="D261" i="3"/>
  <c r="B261" i="3"/>
  <c r="C261" i="3" s="1"/>
  <c r="A261" i="3"/>
  <c r="G260" i="3"/>
  <c r="F260" i="3"/>
  <c r="E260" i="3"/>
  <c r="D260" i="3"/>
  <c r="B260" i="3"/>
  <c r="C260" i="3" s="1"/>
  <c r="A260" i="3"/>
  <c r="G259" i="3"/>
  <c r="F259" i="3"/>
  <c r="E259" i="3"/>
  <c r="D259" i="3"/>
  <c r="B259" i="3"/>
  <c r="C259" i="3" s="1"/>
  <c r="A259" i="3"/>
  <c r="I259" i="3" s="1"/>
  <c r="G258" i="3"/>
  <c r="F258" i="3"/>
  <c r="E258" i="3"/>
  <c r="D258" i="3"/>
  <c r="B258" i="3"/>
  <c r="C258" i="3" s="1"/>
  <c r="A258" i="3"/>
  <c r="I258" i="3" s="1"/>
  <c r="G257" i="3"/>
  <c r="F257" i="3"/>
  <c r="E257" i="3"/>
  <c r="D257" i="3"/>
  <c r="B257" i="3"/>
  <c r="C257" i="3" s="1"/>
  <c r="A257" i="3"/>
  <c r="G256" i="3"/>
  <c r="F256" i="3"/>
  <c r="E256" i="3"/>
  <c r="D256" i="3"/>
  <c r="B256" i="3"/>
  <c r="C256" i="3" s="1"/>
  <c r="A256" i="3"/>
  <c r="H256" i="3" s="1"/>
  <c r="G255" i="3"/>
  <c r="F255" i="3"/>
  <c r="E255" i="3"/>
  <c r="D255" i="3"/>
  <c r="B255" i="3"/>
  <c r="C255" i="3" s="1"/>
  <c r="A255" i="3"/>
  <c r="G254" i="3"/>
  <c r="F254" i="3"/>
  <c r="E254" i="3"/>
  <c r="D254" i="3"/>
  <c r="B254" i="3"/>
  <c r="C254" i="3" s="1"/>
  <c r="A254" i="3"/>
  <c r="G253" i="3"/>
  <c r="F253" i="3"/>
  <c r="E253" i="3"/>
  <c r="D253" i="3"/>
  <c r="B253" i="3"/>
  <c r="C253" i="3" s="1"/>
  <c r="A253" i="3"/>
  <c r="G252" i="3"/>
  <c r="F252" i="3"/>
  <c r="E252" i="3"/>
  <c r="D252" i="3"/>
  <c r="B252" i="3"/>
  <c r="C252" i="3" s="1"/>
  <c r="A252" i="3"/>
  <c r="G251" i="3"/>
  <c r="F251" i="3"/>
  <c r="E251" i="3"/>
  <c r="D251" i="3"/>
  <c r="B251" i="3"/>
  <c r="C251" i="3" s="1"/>
  <c r="A251" i="3"/>
  <c r="G250" i="3"/>
  <c r="F250" i="3"/>
  <c r="E250" i="3"/>
  <c r="D250" i="3"/>
  <c r="B250" i="3"/>
  <c r="C250" i="3" s="1"/>
  <c r="A250" i="3"/>
  <c r="I250" i="3" s="1"/>
  <c r="G249" i="3"/>
  <c r="F249" i="3"/>
  <c r="E249" i="3"/>
  <c r="D249" i="3"/>
  <c r="B249" i="3"/>
  <c r="C249" i="3" s="1"/>
  <c r="A249" i="3"/>
  <c r="H249" i="3" s="1"/>
  <c r="G248" i="3"/>
  <c r="F248" i="3"/>
  <c r="E248" i="3"/>
  <c r="D248" i="3"/>
  <c r="B248" i="3"/>
  <c r="C248" i="3" s="1"/>
  <c r="A248" i="3"/>
  <c r="I248" i="3" s="1"/>
  <c r="G247" i="3"/>
  <c r="F247" i="3"/>
  <c r="E247" i="3"/>
  <c r="D247" i="3"/>
  <c r="B247" i="3"/>
  <c r="C247" i="3" s="1"/>
  <c r="A247" i="3"/>
  <c r="G246" i="3"/>
  <c r="F246" i="3"/>
  <c r="E246" i="3"/>
  <c r="D246" i="3"/>
  <c r="B246" i="3"/>
  <c r="C246" i="3" s="1"/>
  <c r="A246" i="3"/>
  <c r="G245" i="3"/>
  <c r="F245" i="3"/>
  <c r="E245" i="3"/>
  <c r="D245" i="3"/>
  <c r="B245" i="3"/>
  <c r="C245" i="3" s="1"/>
  <c r="A245" i="3"/>
  <c r="G244" i="3"/>
  <c r="F244" i="3"/>
  <c r="E244" i="3"/>
  <c r="D244" i="3"/>
  <c r="B244" i="3"/>
  <c r="C244" i="3" s="1"/>
  <c r="A244" i="3"/>
  <c r="I244" i="3" s="1"/>
  <c r="G243" i="3"/>
  <c r="F243" i="3"/>
  <c r="E243" i="3"/>
  <c r="D243" i="3"/>
  <c r="B243" i="3"/>
  <c r="C243" i="3" s="1"/>
  <c r="A243" i="3"/>
  <c r="I243" i="3" s="1"/>
  <c r="G242" i="3"/>
  <c r="F242" i="3"/>
  <c r="E242" i="3"/>
  <c r="D242" i="3"/>
  <c r="B242" i="3"/>
  <c r="C242" i="3" s="1"/>
  <c r="A242" i="3"/>
  <c r="I242" i="3" s="1"/>
  <c r="G241" i="3"/>
  <c r="F241" i="3"/>
  <c r="E241" i="3"/>
  <c r="D241" i="3"/>
  <c r="B241" i="3"/>
  <c r="C241" i="3" s="1"/>
  <c r="A241" i="3"/>
  <c r="G240" i="3"/>
  <c r="F240" i="3"/>
  <c r="E240" i="3"/>
  <c r="D240" i="3"/>
  <c r="B240" i="3"/>
  <c r="C240" i="3" s="1"/>
  <c r="A240" i="3"/>
  <c r="I240" i="3" s="1"/>
  <c r="G239" i="3"/>
  <c r="F239" i="3"/>
  <c r="E239" i="3"/>
  <c r="D239" i="3"/>
  <c r="B239" i="3"/>
  <c r="C239" i="3" s="1"/>
  <c r="A239" i="3"/>
  <c r="G238" i="3"/>
  <c r="F238" i="3"/>
  <c r="E238" i="3"/>
  <c r="D238" i="3"/>
  <c r="B238" i="3"/>
  <c r="C238" i="3" s="1"/>
  <c r="A238" i="3"/>
  <c r="G237" i="3"/>
  <c r="F237" i="3"/>
  <c r="E237" i="3"/>
  <c r="D237" i="3"/>
  <c r="B237" i="3"/>
  <c r="C237" i="3" s="1"/>
  <c r="A237" i="3"/>
  <c r="H237" i="3" s="1"/>
  <c r="G236" i="3"/>
  <c r="F236" i="3"/>
  <c r="E236" i="3"/>
  <c r="D236" i="3"/>
  <c r="B236" i="3"/>
  <c r="C236" i="3" s="1"/>
  <c r="A236" i="3"/>
  <c r="I236" i="3" s="1"/>
  <c r="G235" i="3"/>
  <c r="F235" i="3"/>
  <c r="E235" i="3"/>
  <c r="D235" i="3"/>
  <c r="B235" i="3"/>
  <c r="C235" i="3" s="1"/>
  <c r="A235" i="3"/>
  <c r="G234" i="3"/>
  <c r="F234" i="3"/>
  <c r="E234" i="3"/>
  <c r="D234" i="3"/>
  <c r="B234" i="3"/>
  <c r="C234" i="3" s="1"/>
  <c r="A234" i="3"/>
  <c r="I234" i="3" s="1"/>
  <c r="G233" i="3"/>
  <c r="F233" i="3"/>
  <c r="E233" i="3"/>
  <c r="D233" i="3"/>
  <c r="B233" i="3"/>
  <c r="C233" i="3" s="1"/>
  <c r="A233" i="3"/>
  <c r="H233" i="3" s="1"/>
  <c r="G232" i="3"/>
  <c r="F232" i="3"/>
  <c r="E232" i="3"/>
  <c r="D232" i="3"/>
  <c r="B232" i="3"/>
  <c r="C232" i="3" s="1"/>
  <c r="A232" i="3"/>
  <c r="I232" i="3" s="1"/>
  <c r="G231" i="3"/>
  <c r="F231" i="3"/>
  <c r="E231" i="3"/>
  <c r="D231" i="3"/>
  <c r="B231" i="3"/>
  <c r="C231" i="3" s="1"/>
  <c r="A231" i="3"/>
  <c r="G230" i="3"/>
  <c r="F230" i="3"/>
  <c r="E230" i="3"/>
  <c r="D230" i="3"/>
  <c r="B230" i="3"/>
  <c r="C230" i="3" s="1"/>
  <c r="A230" i="3"/>
  <c r="G229" i="3"/>
  <c r="F229" i="3"/>
  <c r="E229" i="3"/>
  <c r="D229" i="3"/>
  <c r="B229" i="3"/>
  <c r="C229" i="3" s="1"/>
  <c r="A229" i="3"/>
  <c r="G228" i="3"/>
  <c r="F228" i="3"/>
  <c r="E228" i="3"/>
  <c r="D228" i="3"/>
  <c r="B228" i="3"/>
  <c r="C228" i="3" s="1"/>
  <c r="A228" i="3"/>
  <c r="I228" i="3" s="1"/>
  <c r="G227" i="3"/>
  <c r="F227" i="3"/>
  <c r="E227" i="3"/>
  <c r="D227" i="3"/>
  <c r="B227" i="3"/>
  <c r="C227" i="3" s="1"/>
  <c r="A227" i="3"/>
  <c r="I227" i="3" s="1"/>
  <c r="G226" i="3"/>
  <c r="F226" i="3"/>
  <c r="E226" i="3"/>
  <c r="D226" i="3"/>
  <c r="B226" i="3"/>
  <c r="C226" i="3" s="1"/>
  <c r="A226" i="3"/>
  <c r="I226" i="3" s="1"/>
  <c r="G225" i="3"/>
  <c r="F225" i="3"/>
  <c r="E225" i="3"/>
  <c r="D225" i="3"/>
  <c r="B225" i="3"/>
  <c r="C225" i="3" s="1"/>
  <c r="A225" i="3"/>
  <c r="H225" i="3" s="1"/>
  <c r="G224" i="3"/>
  <c r="F224" i="3"/>
  <c r="E224" i="3"/>
  <c r="D224" i="3"/>
  <c r="B224" i="3"/>
  <c r="C224" i="3" s="1"/>
  <c r="A224" i="3"/>
  <c r="I224" i="3" s="1"/>
  <c r="G223" i="3"/>
  <c r="F223" i="3"/>
  <c r="E223" i="3"/>
  <c r="D223" i="3"/>
  <c r="B223" i="3"/>
  <c r="C223" i="3" s="1"/>
  <c r="A223" i="3"/>
  <c r="G222" i="3"/>
  <c r="F222" i="3"/>
  <c r="E222" i="3"/>
  <c r="D222" i="3"/>
  <c r="B222" i="3"/>
  <c r="C222" i="3" s="1"/>
  <c r="A222" i="3"/>
  <c r="G221" i="3"/>
  <c r="F221" i="3"/>
  <c r="E221" i="3"/>
  <c r="D221" i="3"/>
  <c r="B221" i="3"/>
  <c r="C221" i="3" s="1"/>
  <c r="A221" i="3"/>
  <c r="H221" i="3" s="1"/>
  <c r="G220" i="3"/>
  <c r="F220" i="3"/>
  <c r="E220" i="3"/>
  <c r="D220" i="3"/>
  <c r="B220" i="3"/>
  <c r="C220" i="3" s="1"/>
  <c r="A220" i="3"/>
  <c r="I220" i="3" s="1"/>
  <c r="G219" i="3"/>
  <c r="F219" i="3"/>
  <c r="E219" i="3"/>
  <c r="D219" i="3"/>
  <c r="B219" i="3"/>
  <c r="C219" i="3" s="1"/>
  <c r="A219" i="3"/>
  <c r="G218" i="3"/>
  <c r="F218" i="3"/>
  <c r="E218" i="3"/>
  <c r="D218" i="3"/>
  <c r="B218" i="3"/>
  <c r="C218" i="3" s="1"/>
  <c r="A218" i="3"/>
  <c r="I218" i="3" s="1"/>
  <c r="G217" i="3"/>
  <c r="F217" i="3"/>
  <c r="E217" i="3"/>
  <c r="D217" i="3"/>
  <c r="B217" i="3"/>
  <c r="C217" i="3" s="1"/>
  <c r="A217" i="3"/>
  <c r="H217" i="3" s="1"/>
  <c r="G216" i="3"/>
  <c r="F216" i="3"/>
  <c r="E216" i="3"/>
  <c r="D216" i="3"/>
  <c r="B216" i="3"/>
  <c r="C216" i="3" s="1"/>
  <c r="A216" i="3"/>
  <c r="I216" i="3" s="1"/>
  <c r="G215" i="3"/>
  <c r="F215" i="3"/>
  <c r="E215" i="3"/>
  <c r="D215" i="3"/>
  <c r="B215" i="3"/>
  <c r="C215" i="3" s="1"/>
  <c r="A215" i="3"/>
  <c r="G214" i="3"/>
  <c r="F214" i="3"/>
  <c r="E214" i="3"/>
  <c r="D214" i="3"/>
  <c r="B214" i="3"/>
  <c r="C214" i="3" s="1"/>
  <c r="A214" i="3"/>
  <c r="G213" i="3"/>
  <c r="F213" i="3"/>
  <c r="E213" i="3"/>
  <c r="D213" i="3"/>
  <c r="B213" i="3"/>
  <c r="C213" i="3" s="1"/>
  <c r="A213" i="3"/>
  <c r="G212" i="3"/>
  <c r="F212" i="3"/>
  <c r="E212" i="3"/>
  <c r="D212" i="3"/>
  <c r="B212" i="3"/>
  <c r="C212" i="3" s="1"/>
  <c r="A212" i="3"/>
  <c r="I212" i="3" s="1"/>
  <c r="G211" i="3"/>
  <c r="F211" i="3"/>
  <c r="E211" i="3"/>
  <c r="D211" i="3"/>
  <c r="B211" i="3"/>
  <c r="C211" i="3" s="1"/>
  <c r="A211" i="3"/>
  <c r="I211" i="3" s="1"/>
  <c r="G210" i="3"/>
  <c r="F210" i="3"/>
  <c r="E210" i="3"/>
  <c r="D210" i="3"/>
  <c r="B210" i="3"/>
  <c r="C210" i="3" s="1"/>
  <c r="A210" i="3"/>
  <c r="I210" i="3" s="1"/>
  <c r="G209" i="3"/>
  <c r="F209" i="3"/>
  <c r="E209" i="3"/>
  <c r="D209" i="3"/>
  <c r="B209" i="3"/>
  <c r="C209" i="3" s="1"/>
  <c r="A209" i="3"/>
  <c r="G208" i="3"/>
  <c r="F208" i="3"/>
  <c r="E208" i="3"/>
  <c r="D208" i="3"/>
  <c r="B208" i="3"/>
  <c r="C208" i="3" s="1"/>
  <c r="A208" i="3"/>
  <c r="I208" i="3" s="1"/>
  <c r="G207" i="3"/>
  <c r="F207" i="3"/>
  <c r="E207" i="3"/>
  <c r="D207" i="3"/>
  <c r="B207" i="3"/>
  <c r="C207" i="3" s="1"/>
  <c r="A207" i="3"/>
  <c r="I207" i="3" s="1"/>
  <c r="G206" i="3"/>
  <c r="F206" i="3"/>
  <c r="E206" i="3"/>
  <c r="D206" i="3"/>
  <c r="B206" i="3"/>
  <c r="C206" i="3" s="1"/>
  <c r="A206" i="3"/>
  <c r="I206" i="3" s="1"/>
  <c r="G205" i="3"/>
  <c r="F205" i="3"/>
  <c r="E205" i="3"/>
  <c r="D205" i="3"/>
  <c r="B205" i="3"/>
  <c r="C205" i="3" s="1"/>
  <c r="A205" i="3"/>
  <c r="H205" i="3" s="1"/>
  <c r="G204" i="3"/>
  <c r="F204" i="3"/>
  <c r="E204" i="3"/>
  <c r="D204" i="3"/>
  <c r="B204" i="3"/>
  <c r="C204" i="3" s="1"/>
  <c r="A204" i="3"/>
  <c r="I204" i="3" s="1"/>
  <c r="G203" i="3"/>
  <c r="F203" i="3"/>
  <c r="E203" i="3"/>
  <c r="D203" i="3"/>
  <c r="B203" i="3"/>
  <c r="C203" i="3" s="1"/>
  <c r="A203" i="3"/>
  <c r="I203" i="3" s="1"/>
  <c r="G202" i="3"/>
  <c r="F202" i="3"/>
  <c r="E202" i="3"/>
  <c r="D202" i="3"/>
  <c r="B202" i="3"/>
  <c r="C202" i="3" s="1"/>
  <c r="A202" i="3"/>
  <c r="I202" i="3" s="1"/>
  <c r="G201" i="3"/>
  <c r="F201" i="3"/>
  <c r="E201" i="3"/>
  <c r="D201" i="3"/>
  <c r="B201" i="3"/>
  <c r="C201" i="3" s="1"/>
  <c r="A201" i="3"/>
  <c r="H201" i="3" s="1"/>
  <c r="G200" i="3"/>
  <c r="F200" i="3"/>
  <c r="E200" i="3"/>
  <c r="D200" i="3"/>
  <c r="B200" i="3"/>
  <c r="C200" i="3" s="1"/>
  <c r="A200" i="3"/>
  <c r="I200" i="3" s="1"/>
  <c r="G199" i="3"/>
  <c r="F199" i="3"/>
  <c r="E199" i="3"/>
  <c r="D199" i="3"/>
  <c r="B199" i="3"/>
  <c r="C199" i="3" s="1"/>
  <c r="A199" i="3"/>
  <c r="G198" i="3"/>
  <c r="F198" i="3"/>
  <c r="E198" i="3"/>
  <c r="D198" i="3"/>
  <c r="B198" i="3"/>
  <c r="C198" i="3" s="1"/>
  <c r="A198" i="3"/>
  <c r="G197" i="3"/>
  <c r="F197" i="3"/>
  <c r="E197" i="3"/>
  <c r="D197" i="3"/>
  <c r="B197" i="3"/>
  <c r="C197" i="3" s="1"/>
  <c r="A197" i="3"/>
  <c r="G196" i="3"/>
  <c r="F196" i="3"/>
  <c r="E196" i="3"/>
  <c r="D196" i="3"/>
  <c r="B196" i="3"/>
  <c r="C196" i="3" s="1"/>
  <c r="A196" i="3"/>
  <c r="I196" i="3" s="1"/>
  <c r="G195" i="3"/>
  <c r="F195" i="3"/>
  <c r="E195" i="3"/>
  <c r="D195" i="3"/>
  <c r="B195" i="3"/>
  <c r="C195" i="3" s="1"/>
  <c r="A195" i="3"/>
  <c r="I195" i="3" s="1"/>
  <c r="G194" i="3"/>
  <c r="F194" i="3"/>
  <c r="E194" i="3"/>
  <c r="D194" i="3"/>
  <c r="B194" i="3"/>
  <c r="C194" i="3" s="1"/>
  <c r="A194" i="3"/>
  <c r="I194" i="3" s="1"/>
  <c r="G193" i="3"/>
  <c r="F193" i="3"/>
  <c r="E193" i="3"/>
  <c r="D193" i="3"/>
  <c r="B193" i="3"/>
  <c r="C193" i="3" s="1"/>
  <c r="A193" i="3"/>
  <c r="H193" i="3" s="1"/>
  <c r="G192" i="3"/>
  <c r="F192" i="3"/>
  <c r="E192" i="3"/>
  <c r="D192" i="3"/>
  <c r="B192" i="3"/>
  <c r="C192" i="3" s="1"/>
  <c r="A192" i="3"/>
  <c r="I192" i="3" s="1"/>
  <c r="G191" i="3"/>
  <c r="F191" i="3"/>
  <c r="E191" i="3"/>
  <c r="D191" i="3"/>
  <c r="B191" i="3"/>
  <c r="C191" i="3" s="1"/>
  <c r="A191" i="3"/>
  <c r="I191" i="3" s="1"/>
  <c r="G190" i="3"/>
  <c r="F190" i="3"/>
  <c r="E190" i="3"/>
  <c r="D190" i="3"/>
  <c r="B190" i="3"/>
  <c r="C190" i="3" s="1"/>
  <c r="A190" i="3"/>
  <c r="I190" i="3" s="1"/>
  <c r="G189" i="3"/>
  <c r="F189" i="3"/>
  <c r="E189" i="3"/>
  <c r="D189" i="3"/>
  <c r="B189" i="3"/>
  <c r="C189" i="3" s="1"/>
  <c r="A189" i="3"/>
  <c r="H189" i="3" s="1"/>
  <c r="G188" i="3"/>
  <c r="F188" i="3"/>
  <c r="E188" i="3"/>
  <c r="D188" i="3"/>
  <c r="B188" i="3"/>
  <c r="C188" i="3" s="1"/>
  <c r="A188" i="3"/>
  <c r="I188" i="3" s="1"/>
  <c r="G187" i="3"/>
  <c r="F187" i="3"/>
  <c r="E187" i="3"/>
  <c r="D187" i="3"/>
  <c r="B187" i="3"/>
  <c r="C187" i="3" s="1"/>
  <c r="A187" i="3"/>
  <c r="G186" i="3"/>
  <c r="F186" i="3"/>
  <c r="E186" i="3"/>
  <c r="D186" i="3"/>
  <c r="B186" i="3"/>
  <c r="C186" i="3" s="1"/>
  <c r="A186" i="3"/>
  <c r="I186" i="3" s="1"/>
  <c r="G185" i="3"/>
  <c r="F185" i="3"/>
  <c r="E185" i="3"/>
  <c r="D185" i="3"/>
  <c r="B185" i="3"/>
  <c r="C185" i="3" s="1"/>
  <c r="A185" i="3"/>
  <c r="H185" i="3" s="1"/>
  <c r="G184" i="3"/>
  <c r="F184" i="3"/>
  <c r="E184" i="3"/>
  <c r="D184" i="3"/>
  <c r="B184" i="3"/>
  <c r="C184" i="3" s="1"/>
  <c r="A184" i="3"/>
  <c r="I184" i="3" s="1"/>
  <c r="G183" i="3"/>
  <c r="F183" i="3"/>
  <c r="E183" i="3"/>
  <c r="D183" i="3"/>
  <c r="B183" i="3"/>
  <c r="C183" i="3" s="1"/>
  <c r="A183" i="3"/>
  <c r="I183" i="3" s="1"/>
  <c r="G182" i="3"/>
  <c r="F182" i="3"/>
  <c r="E182" i="3"/>
  <c r="D182" i="3"/>
  <c r="B182" i="3"/>
  <c r="C182" i="3" s="1"/>
  <c r="A182" i="3"/>
  <c r="I182" i="3" s="1"/>
  <c r="G181" i="3"/>
  <c r="F181" i="3"/>
  <c r="E181" i="3"/>
  <c r="D181" i="3"/>
  <c r="B181" i="3"/>
  <c r="C181" i="3" s="1"/>
  <c r="A181" i="3"/>
  <c r="H181" i="3" s="1"/>
  <c r="G180" i="3"/>
  <c r="F180" i="3"/>
  <c r="E180" i="3"/>
  <c r="D180" i="3"/>
  <c r="B180" i="3"/>
  <c r="C180" i="3" s="1"/>
  <c r="A180" i="3"/>
  <c r="I180" i="3" s="1"/>
  <c r="G179" i="3"/>
  <c r="F179" i="3"/>
  <c r="E179" i="3"/>
  <c r="D179" i="3"/>
  <c r="B179" i="3"/>
  <c r="C179" i="3" s="1"/>
  <c r="A179" i="3"/>
  <c r="I179" i="3" s="1"/>
  <c r="G178" i="3"/>
  <c r="F178" i="3"/>
  <c r="E178" i="3"/>
  <c r="D178" i="3"/>
  <c r="B178" i="3"/>
  <c r="C178" i="3" s="1"/>
  <c r="A178" i="3"/>
  <c r="I178" i="3" s="1"/>
  <c r="G177" i="3"/>
  <c r="F177" i="3"/>
  <c r="E177" i="3"/>
  <c r="D177" i="3"/>
  <c r="B177" i="3"/>
  <c r="C177" i="3" s="1"/>
  <c r="A177" i="3"/>
  <c r="H177" i="3" s="1"/>
  <c r="G176" i="3"/>
  <c r="F176" i="3"/>
  <c r="E176" i="3"/>
  <c r="D176" i="3"/>
  <c r="B176" i="3"/>
  <c r="C176" i="3" s="1"/>
  <c r="A176" i="3"/>
  <c r="I176" i="3" s="1"/>
  <c r="G175" i="3"/>
  <c r="F175" i="3"/>
  <c r="E175" i="3"/>
  <c r="D175" i="3"/>
  <c r="B175" i="3"/>
  <c r="C175" i="3" s="1"/>
  <c r="A175" i="3"/>
  <c r="G174" i="3"/>
  <c r="F174" i="3"/>
  <c r="E174" i="3"/>
  <c r="D174" i="3"/>
  <c r="B174" i="3"/>
  <c r="C174" i="3" s="1"/>
  <c r="A174" i="3"/>
  <c r="G173" i="3"/>
  <c r="F173" i="3"/>
  <c r="E173" i="3"/>
  <c r="D173" i="3"/>
  <c r="B173" i="3"/>
  <c r="C173" i="3" s="1"/>
  <c r="A173" i="3"/>
  <c r="H173" i="3" s="1"/>
  <c r="G172" i="3"/>
  <c r="F172" i="3"/>
  <c r="E172" i="3"/>
  <c r="D172" i="3"/>
  <c r="B172" i="3"/>
  <c r="C172" i="3" s="1"/>
  <c r="A172" i="3"/>
  <c r="I172" i="3" s="1"/>
  <c r="G171" i="3"/>
  <c r="F171" i="3"/>
  <c r="E171" i="3"/>
  <c r="D171" i="3"/>
  <c r="B171" i="3"/>
  <c r="C171" i="3" s="1"/>
  <c r="A171" i="3"/>
  <c r="G170" i="3"/>
  <c r="F170" i="3"/>
  <c r="E170" i="3"/>
  <c r="D170" i="3"/>
  <c r="B170" i="3"/>
  <c r="C170" i="3" s="1"/>
  <c r="A170" i="3"/>
  <c r="I170" i="3" s="1"/>
  <c r="G169" i="3"/>
  <c r="F169" i="3"/>
  <c r="E169" i="3"/>
  <c r="D169" i="3"/>
  <c r="B169" i="3"/>
  <c r="C169" i="3" s="1"/>
  <c r="A169" i="3"/>
  <c r="H169" i="3" s="1"/>
  <c r="G168" i="3"/>
  <c r="F168" i="3"/>
  <c r="E168" i="3"/>
  <c r="D168" i="3"/>
  <c r="B168" i="3"/>
  <c r="C168" i="3" s="1"/>
  <c r="A168" i="3"/>
  <c r="I168" i="3" s="1"/>
  <c r="G167" i="3"/>
  <c r="F167" i="3"/>
  <c r="E167" i="3"/>
  <c r="D167" i="3"/>
  <c r="B167" i="3"/>
  <c r="C167" i="3" s="1"/>
  <c r="A167" i="3"/>
  <c r="G166" i="3"/>
  <c r="F166" i="3"/>
  <c r="E166" i="3"/>
  <c r="D166" i="3"/>
  <c r="B166" i="3"/>
  <c r="C166" i="3" s="1"/>
  <c r="A166" i="3"/>
  <c r="G165" i="3"/>
  <c r="F165" i="3"/>
  <c r="E165" i="3"/>
  <c r="D165" i="3"/>
  <c r="B165" i="3"/>
  <c r="C165" i="3" s="1"/>
  <c r="A165" i="3"/>
  <c r="G164" i="3"/>
  <c r="F164" i="3"/>
  <c r="E164" i="3"/>
  <c r="D164" i="3"/>
  <c r="B164" i="3"/>
  <c r="C164" i="3" s="1"/>
  <c r="A164" i="3"/>
  <c r="I164" i="3" s="1"/>
  <c r="G163" i="3"/>
  <c r="F163" i="3"/>
  <c r="E163" i="3"/>
  <c r="D163" i="3"/>
  <c r="B163" i="3"/>
  <c r="C163" i="3" s="1"/>
  <c r="A163" i="3"/>
  <c r="I163" i="3" s="1"/>
  <c r="G162" i="3"/>
  <c r="F162" i="3"/>
  <c r="E162" i="3"/>
  <c r="D162" i="3"/>
  <c r="B162" i="3"/>
  <c r="C162" i="3" s="1"/>
  <c r="A162" i="3"/>
  <c r="I162" i="3" s="1"/>
  <c r="G161" i="3"/>
  <c r="F161" i="3"/>
  <c r="E161" i="3"/>
  <c r="D161" i="3"/>
  <c r="B161" i="3"/>
  <c r="C161" i="3" s="1"/>
  <c r="A161" i="3"/>
  <c r="H161" i="3" s="1"/>
  <c r="G160" i="3"/>
  <c r="F160" i="3"/>
  <c r="E160" i="3"/>
  <c r="D160" i="3"/>
  <c r="B160" i="3"/>
  <c r="C160" i="3" s="1"/>
  <c r="A160" i="3"/>
  <c r="I160" i="3" s="1"/>
  <c r="G159" i="3"/>
  <c r="F159" i="3"/>
  <c r="E159" i="3"/>
  <c r="D159" i="3"/>
  <c r="B159" i="3"/>
  <c r="C159" i="3" s="1"/>
  <c r="A159" i="3"/>
  <c r="I159" i="3" s="1"/>
  <c r="G158" i="3"/>
  <c r="F158" i="3"/>
  <c r="E158" i="3"/>
  <c r="D158" i="3"/>
  <c r="B158" i="3"/>
  <c r="C158" i="3" s="1"/>
  <c r="A158" i="3"/>
  <c r="I158" i="3" s="1"/>
  <c r="G157" i="3"/>
  <c r="F157" i="3"/>
  <c r="E157" i="3"/>
  <c r="D157" i="3"/>
  <c r="B157" i="3"/>
  <c r="C157" i="3" s="1"/>
  <c r="A157" i="3"/>
  <c r="H157" i="3" s="1"/>
  <c r="G156" i="3"/>
  <c r="F156" i="3"/>
  <c r="E156" i="3"/>
  <c r="D156" i="3"/>
  <c r="B156" i="3"/>
  <c r="C156" i="3" s="1"/>
  <c r="A156" i="3"/>
  <c r="I156" i="3" s="1"/>
  <c r="G155" i="3"/>
  <c r="F155" i="3"/>
  <c r="E155" i="3"/>
  <c r="D155" i="3"/>
  <c r="B155" i="3"/>
  <c r="C155" i="3" s="1"/>
  <c r="A155" i="3"/>
  <c r="I155" i="3" s="1"/>
  <c r="G154" i="3"/>
  <c r="F154" i="3"/>
  <c r="E154" i="3"/>
  <c r="D154" i="3"/>
  <c r="B154" i="3"/>
  <c r="C154" i="3" s="1"/>
  <c r="A154" i="3"/>
  <c r="I154" i="3" s="1"/>
  <c r="G153" i="3"/>
  <c r="F153" i="3"/>
  <c r="E153" i="3"/>
  <c r="D153" i="3"/>
  <c r="B153" i="3"/>
  <c r="C153" i="3" s="1"/>
  <c r="A153" i="3"/>
  <c r="H153" i="3" s="1"/>
  <c r="G152" i="3"/>
  <c r="F152" i="3"/>
  <c r="E152" i="3"/>
  <c r="D152" i="3"/>
  <c r="B152" i="3"/>
  <c r="C152" i="3" s="1"/>
  <c r="A152" i="3"/>
  <c r="I152" i="3" s="1"/>
  <c r="G151" i="3"/>
  <c r="F151" i="3"/>
  <c r="E151" i="3"/>
  <c r="D151" i="3"/>
  <c r="B151" i="3"/>
  <c r="C151" i="3" s="1"/>
  <c r="A151" i="3"/>
  <c r="I151" i="3" s="1"/>
  <c r="G150" i="3"/>
  <c r="F150" i="3"/>
  <c r="E150" i="3"/>
  <c r="D150" i="3"/>
  <c r="B150" i="3"/>
  <c r="C150" i="3" s="1"/>
  <c r="A150" i="3"/>
  <c r="I150" i="3" s="1"/>
  <c r="G149" i="3"/>
  <c r="F149" i="3"/>
  <c r="E149" i="3"/>
  <c r="D149" i="3"/>
  <c r="B149" i="3"/>
  <c r="C149" i="3" s="1"/>
  <c r="A149" i="3"/>
  <c r="H149" i="3" s="1"/>
  <c r="G148" i="3"/>
  <c r="F148" i="3"/>
  <c r="E148" i="3"/>
  <c r="D148" i="3"/>
  <c r="B148" i="3"/>
  <c r="C148" i="3" s="1"/>
  <c r="A148" i="3"/>
  <c r="I148" i="3" s="1"/>
  <c r="G147" i="3"/>
  <c r="F147" i="3"/>
  <c r="E147" i="3"/>
  <c r="D147" i="3"/>
  <c r="B147" i="3"/>
  <c r="C147" i="3" s="1"/>
  <c r="A147" i="3"/>
  <c r="G146" i="3"/>
  <c r="F146" i="3"/>
  <c r="E146" i="3"/>
  <c r="D146" i="3"/>
  <c r="B146" i="3"/>
  <c r="C146" i="3" s="1"/>
  <c r="A146" i="3"/>
  <c r="G145" i="3"/>
  <c r="F145" i="3"/>
  <c r="E145" i="3"/>
  <c r="D145" i="3"/>
  <c r="B145" i="3"/>
  <c r="C145" i="3" s="1"/>
  <c r="A145" i="3"/>
  <c r="H145" i="3" s="1"/>
  <c r="G144" i="3"/>
  <c r="F144" i="3"/>
  <c r="E144" i="3"/>
  <c r="D144" i="3"/>
  <c r="B144" i="3"/>
  <c r="C144" i="3" s="1"/>
  <c r="A144" i="3"/>
  <c r="I144" i="3" s="1"/>
  <c r="G143" i="3"/>
  <c r="F143" i="3"/>
  <c r="E143" i="3"/>
  <c r="D143" i="3"/>
  <c r="B143" i="3"/>
  <c r="C143" i="3" s="1"/>
  <c r="A143" i="3"/>
  <c r="G142" i="3"/>
  <c r="F142" i="3"/>
  <c r="E142" i="3"/>
  <c r="D142" i="3"/>
  <c r="B142" i="3"/>
  <c r="C142" i="3" s="1"/>
  <c r="A142" i="3"/>
  <c r="G141" i="3"/>
  <c r="F141" i="3"/>
  <c r="E141" i="3"/>
  <c r="D141" i="3"/>
  <c r="B141" i="3"/>
  <c r="C141" i="3" s="1"/>
  <c r="A141" i="3"/>
  <c r="H141" i="3" s="1"/>
  <c r="G140" i="3"/>
  <c r="F140" i="3"/>
  <c r="E140" i="3"/>
  <c r="D140" i="3"/>
  <c r="B140" i="3"/>
  <c r="C140" i="3" s="1"/>
  <c r="A140" i="3"/>
  <c r="I140" i="3" s="1"/>
  <c r="G139" i="3"/>
  <c r="F139" i="3"/>
  <c r="E139" i="3"/>
  <c r="D139" i="3"/>
  <c r="B139" i="3"/>
  <c r="C139" i="3" s="1"/>
  <c r="A139" i="3"/>
  <c r="G138" i="3"/>
  <c r="F138" i="3"/>
  <c r="E138" i="3"/>
  <c r="D138" i="3"/>
  <c r="B138" i="3"/>
  <c r="C138" i="3" s="1"/>
  <c r="A138" i="3"/>
  <c r="I138" i="3" s="1"/>
  <c r="G137" i="3"/>
  <c r="F137" i="3"/>
  <c r="E137" i="3"/>
  <c r="D137" i="3"/>
  <c r="B137" i="3"/>
  <c r="C137" i="3" s="1"/>
  <c r="A137" i="3"/>
  <c r="H137" i="3" s="1"/>
  <c r="G136" i="3"/>
  <c r="F136" i="3"/>
  <c r="E136" i="3"/>
  <c r="D136" i="3"/>
  <c r="B136" i="3"/>
  <c r="C136" i="3" s="1"/>
  <c r="A136" i="3"/>
  <c r="I136" i="3" s="1"/>
  <c r="G135" i="3"/>
  <c r="F135" i="3"/>
  <c r="E135" i="3"/>
  <c r="D135" i="3"/>
  <c r="B135" i="3"/>
  <c r="C135" i="3" s="1"/>
  <c r="A135" i="3"/>
  <c r="G134" i="3"/>
  <c r="F134" i="3"/>
  <c r="E134" i="3"/>
  <c r="D134" i="3"/>
  <c r="B134" i="3"/>
  <c r="C134" i="3" s="1"/>
  <c r="A134" i="3"/>
  <c r="I134" i="3" s="1"/>
  <c r="G133" i="3"/>
  <c r="F133" i="3"/>
  <c r="E133" i="3"/>
  <c r="D133" i="3"/>
  <c r="B133" i="3"/>
  <c r="C133" i="3" s="1"/>
  <c r="A133" i="3"/>
  <c r="H133" i="3" s="1"/>
  <c r="G132" i="3"/>
  <c r="F132" i="3"/>
  <c r="E132" i="3"/>
  <c r="D132" i="3"/>
  <c r="B132" i="3"/>
  <c r="C132" i="3" s="1"/>
  <c r="A132" i="3"/>
  <c r="I132" i="3" s="1"/>
  <c r="G131" i="3"/>
  <c r="F131" i="3"/>
  <c r="E131" i="3"/>
  <c r="D131" i="3"/>
  <c r="B131" i="3"/>
  <c r="C131" i="3" s="1"/>
  <c r="A131" i="3"/>
  <c r="I131" i="3" s="1"/>
  <c r="G130" i="3"/>
  <c r="F130" i="3"/>
  <c r="E130" i="3"/>
  <c r="D130" i="3"/>
  <c r="B130" i="3"/>
  <c r="C130" i="3" s="1"/>
  <c r="A130" i="3"/>
  <c r="I130" i="3" s="1"/>
  <c r="G129" i="3"/>
  <c r="F129" i="3"/>
  <c r="E129" i="3"/>
  <c r="D129" i="3"/>
  <c r="B129" i="3"/>
  <c r="C129" i="3" s="1"/>
  <c r="A129" i="3"/>
  <c r="H129" i="3" s="1"/>
  <c r="G128" i="3"/>
  <c r="F128" i="3"/>
  <c r="E128" i="3"/>
  <c r="D128" i="3"/>
  <c r="B128" i="3"/>
  <c r="C128" i="3" s="1"/>
  <c r="A128" i="3"/>
  <c r="I128" i="3" s="1"/>
  <c r="G127" i="3"/>
  <c r="F127" i="3"/>
  <c r="E127" i="3"/>
  <c r="D127" i="3"/>
  <c r="B127" i="3"/>
  <c r="C127" i="3" s="1"/>
  <c r="A127" i="3"/>
  <c r="I127" i="3" s="1"/>
  <c r="G126" i="3"/>
  <c r="F126" i="3"/>
  <c r="E126" i="3"/>
  <c r="D126" i="3"/>
  <c r="B126" i="3"/>
  <c r="C126" i="3" s="1"/>
  <c r="A126" i="3"/>
  <c r="I126" i="3" s="1"/>
  <c r="G125" i="3"/>
  <c r="F125" i="3"/>
  <c r="E125" i="3"/>
  <c r="D125" i="3"/>
  <c r="B125" i="3"/>
  <c r="C125" i="3" s="1"/>
  <c r="A125" i="3"/>
  <c r="H125" i="3" s="1"/>
  <c r="G124" i="3"/>
  <c r="F124" i="3"/>
  <c r="E124" i="3"/>
  <c r="D124" i="3"/>
  <c r="B124" i="3"/>
  <c r="C124" i="3" s="1"/>
  <c r="A124" i="3"/>
  <c r="I124" i="3" s="1"/>
  <c r="G123" i="3"/>
  <c r="F123" i="3"/>
  <c r="E123" i="3"/>
  <c r="D123" i="3"/>
  <c r="B123" i="3"/>
  <c r="C123" i="3" s="1"/>
  <c r="A123" i="3"/>
  <c r="I123" i="3" s="1"/>
  <c r="G122" i="3"/>
  <c r="F122" i="3"/>
  <c r="E122" i="3"/>
  <c r="D122" i="3"/>
  <c r="B122" i="3"/>
  <c r="C122" i="3" s="1"/>
  <c r="A122" i="3"/>
  <c r="I122" i="3" s="1"/>
  <c r="G121" i="3"/>
  <c r="F121" i="3"/>
  <c r="E121" i="3"/>
  <c r="D121" i="3"/>
  <c r="B121" i="3"/>
  <c r="C121" i="3" s="1"/>
  <c r="A121" i="3"/>
  <c r="H121" i="3" s="1"/>
  <c r="G120" i="3"/>
  <c r="F120" i="3"/>
  <c r="E120" i="3"/>
  <c r="D120" i="3"/>
  <c r="B120" i="3"/>
  <c r="C120" i="3" s="1"/>
  <c r="A120" i="3"/>
  <c r="I120" i="3" s="1"/>
  <c r="G119" i="3"/>
  <c r="F119" i="3"/>
  <c r="E119" i="3"/>
  <c r="D119" i="3"/>
  <c r="B119" i="3"/>
  <c r="C119" i="3" s="1"/>
  <c r="A119" i="3"/>
  <c r="I119" i="3" s="1"/>
  <c r="G118" i="3"/>
  <c r="F118" i="3"/>
  <c r="E118" i="3"/>
  <c r="D118" i="3"/>
  <c r="B118" i="3"/>
  <c r="C118" i="3" s="1"/>
  <c r="A118" i="3"/>
  <c r="I118" i="3" s="1"/>
  <c r="G117" i="3"/>
  <c r="F117" i="3"/>
  <c r="E117" i="3"/>
  <c r="D117" i="3"/>
  <c r="B117" i="3"/>
  <c r="C117" i="3" s="1"/>
  <c r="A117" i="3"/>
  <c r="H117" i="3" s="1"/>
  <c r="G116" i="3"/>
  <c r="F116" i="3"/>
  <c r="E116" i="3"/>
  <c r="D116" i="3"/>
  <c r="B116" i="3"/>
  <c r="C116" i="3" s="1"/>
  <c r="A116" i="3"/>
  <c r="H116" i="3" s="1"/>
  <c r="G115" i="3"/>
  <c r="F115" i="3"/>
  <c r="E115" i="3"/>
  <c r="D115" i="3"/>
  <c r="B115" i="3"/>
  <c r="C115" i="3" s="1"/>
  <c r="A115" i="3"/>
  <c r="I115" i="3" s="1"/>
  <c r="G114" i="3"/>
  <c r="F114" i="3"/>
  <c r="E114" i="3"/>
  <c r="D114" i="3"/>
  <c r="B114" i="3"/>
  <c r="C114" i="3" s="1"/>
  <c r="A114" i="3"/>
  <c r="I114" i="3" s="1"/>
  <c r="G113" i="3"/>
  <c r="F113" i="3"/>
  <c r="E113" i="3"/>
  <c r="D113" i="3"/>
  <c r="B113" i="3"/>
  <c r="C113" i="3" s="1"/>
  <c r="A113" i="3"/>
  <c r="H113" i="3" s="1"/>
  <c r="G112" i="3"/>
  <c r="F112" i="3"/>
  <c r="E112" i="3"/>
  <c r="D112" i="3"/>
  <c r="B112" i="3"/>
  <c r="C112" i="3" s="1"/>
  <c r="A112" i="3"/>
  <c r="H112" i="3" s="1"/>
  <c r="G111" i="3"/>
  <c r="F111" i="3"/>
  <c r="E111" i="3"/>
  <c r="D111" i="3"/>
  <c r="B111" i="3"/>
  <c r="C111" i="3" s="1"/>
  <c r="A111" i="3"/>
  <c r="I111" i="3" s="1"/>
  <c r="G110" i="3"/>
  <c r="F110" i="3"/>
  <c r="E110" i="3"/>
  <c r="D110" i="3"/>
  <c r="B110" i="3"/>
  <c r="C110" i="3" s="1"/>
  <c r="A110" i="3"/>
  <c r="I110" i="3" s="1"/>
  <c r="G109" i="3"/>
  <c r="F109" i="3"/>
  <c r="E109" i="3"/>
  <c r="D109" i="3"/>
  <c r="B109" i="3"/>
  <c r="C109" i="3" s="1"/>
  <c r="A109" i="3"/>
  <c r="I109" i="3" s="1"/>
  <c r="G108" i="3"/>
  <c r="F108" i="3"/>
  <c r="E108" i="3"/>
  <c r="D108" i="3"/>
  <c r="B108" i="3"/>
  <c r="C108" i="3" s="1"/>
  <c r="A108" i="3"/>
  <c r="H108" i="3" s="1"/>
  <c r="G107" i="3"/>
  <c r="F107" i="3"/>
  <c r="E107" i="3"/>
  <c r="D107" i="3"/>
  <c r="B107" i="3"/>
  <c r="C107" i="3" s="1"/>
  <c r="A107" i="3"/>
  <c r="I107" i="3" s="1"/>
  <c r="G106" i="3"/>
  <c r="F106" i="3"/>
  <c r="E106" i="3"/>
  <c r="D106" i="3"/>
  <c r="B106" i="3"/>
  <c r="C106" i="3" s="1"/>
  <c r="A106" i="3"/>
  <c r="I106" i="3" s="1"/>
  <c r="G105" i="3"/>
  <c r="F105" i="3"/>
  <c r="E105" i="3"/>
  <c r="D105" i="3"/>
  <c r="B105" i="3"/>
  <c r="C105" i="3" s="1"/>
  <c r="A105" i="3"/>
  <c r="I105" i="3" s="1"/>
  <c r="G104" i="3"/>
  <c r="F104" i="3"/>
  <c r="E104" i="3"/>
  <c r="D104" i="3"/>
  <c r="B104" i="3"/>
  <c r="C104" i="3" s="1"/>
  <c r="A104" i="3"/>
  <c r="H104" i="3" s="1"/>
  <c r="G103" i="3"/>
  <c r="F103" i="3"/>
  <c r="E103" i="3"/>
  <c r="D103" i="3"/>
  <c r="B103" i="3"/>
  <c r="C103" i="3" s="1"/>
  <c r="A103" i="3"/>
  <c r="I103" i="3" s="1"/>
  <c r="G102" i="3"/>
  <c r="F102" i="3"/>
  <c r="E102" i="3"/>
  <c r="D102" i="3"/>
  <c r="B102" i="3"/>
  <c r="C102" i="3" s="1"/>
  <c r="A102" i="3"/>
  <c r="I102" i="3" s="1"/>
  <c r="G101" i="3"/>
  <c r="F101" i="3"/>
  <c r="E101" i="3"/>
  <c r="D101" i="3"/>
  <c r="B101" i="3"/>
  <c r="C101" i="3" s="1"/>
  <c r="A101" i="3"/>
  <c r="H101" i="3" s="1"/>
  <c r="G100" i="3"/>
  <c r="F100" i="3"/>
  <c r="E100" i="3"/>
  <c r="D100" i="3"/>
  <c r="B100" i="3"/>
  <c r="C100" i="3" s="1"/>
  <c r="A100" i="3"/>
  <c r="H100" i="3" s="1"/>
  <c r="G99" i="3"/>
  <c r="F99" i="3"/>
  <c r="E99" i="3"/>
  <c r="D99" i="3"/>
  <c r="B99" i="3"/>
  <c r="C99" i="3" s="1"/>
  <c r="A99" i="3"/>
  <c r="I99" i="3" s="1"/>
  <c r="G98" i="3"/>
  <c r="F98" i="3"/>
  <c r="E98" i="3"/>
  <c r="D98" i="3"/>
  <c r="B98" i="3"/>
  <c r="C98" i="3" s="1"/>
  <c r="A98" i="3"/>
  <c r="I98" i="3" s="1"/>
  <c r="G97" i="3"/>
  <c r="F97" i="3"/>
  <c r="E97" i="3"/>
  <c r="D97" i="3"/>
  <c r="B97" i="3"/>
  <c r="C97" i="3" s="1"/>
  <c r="A97" i="3"/>
  <c r="H97" i="3" s="1"/>
  <c r="G96" i="3"/>
  <c r="F96" i="3"/>
  <c r="E96" i="3"/>
  <c r="D96" i="3"/>
  <c r="B96" i="3"/>
  <c r="C96" i="3" s="1"/>
  <c r="A96" i="3"/>
  <c r="H96" i="3" s="1"/>
  <c r="G95" i="3"/>
  <c r="F95" i="3"/>
  <c r="E95" i="3"/>
  <c r="D95" i="3"/>
  <c r="B95" i="3"/>
  <c r="C95" i="3" s="1"/>
  <c r="A95" i="3"/>
  <c r="I95" i="3" s="1"/>
  <c r="G94" i="3"/>
  <c r="F94" i="3"/>
  <c r="E94" i="3"/>
  <c r="D94" i="3"/>
  <c r="B94" i="3"/>
  <c r="C94" i="3" s="1"/>
  <c r="A94" i="3"/>
  <c r="I94" i="3" s="1"/>
  <c r="G93" i="3"/>
  <c r="F93" i="3"/>
  <c r="E93" i="3"/>
  <c r="D93" i="3"/>
  <c r="B93" i="3"/>
  <c r="C93" i="3" s="1"/>
  <c r="A93" i="3"/>
  <c r="I93" i="3" s="1"/>
  <c r="G92" i="3"/>
  <c r="F92" i="3"/>
  <c r="E92" i="3"/>
  <c r="D92" i="3"/>
  <c r="B92" i="3"/>
  <c r="C92" i="3" s="1"/>
  <c r="A92" i="3"/>
  <c r="H92" i="3" s="1"/>
  <c r="G91" i="3"/>
  <c r="F91" i="3"/>
  <c r="E91" i="3"/>
  <c r="D91" i="3"/>
  <c r="B91" i="3"/>
  <c r="C91" i="3" s="1"/>
  <c r="A91" i="3"/>
  <c r="I91" i="3" s="1"/>
  <c r="G90" i="3"/>
  <c r="F90" i="3"/>
  <c r="E90" i="3"/>
  <c r="D90" i="3"/>
  <c r="B90" i="3"/>
  <c r="C90" i="3" s="1"/>
  <c r="A90" i="3"/>
  <c r="I90" i="3" s="1"/>
  <c r="G89" i="3"/>
  <c r="F89" i="3"/>
  <c r="E89" i="3"/>
  <c r="D89" i="3"/>
  <c r="B89" i="3"/>
  <c r="C89" i="3" s="1"/>
  <c r="A89" i="3"/>
  <c r="H89" i="3" s="1"/>
  <c r="G88" i="3"/>
  <c r="F88" i="3"/>
  <c r="E88" i="3"/>
  <c r="D88" i="3"/>
  <c r="B88" i="3"/>
  <c r="C88" i="3" s="1"/>
  <c r="A88" i="3"/>
  <c r="H88" i="3" s="1"/>
  <c r="G87" i="3"/>
  <c r="F87" i="3"/>
  <c r="E87" i="3"/>
  <c r="D87" i="3"/>
  <c r="B87" i="3"/>
  <c r="C87" i="3" s="1"/>
  <c r="A87" i="3"/>
  <c r="I87" i="3" s="1"/>
  <c r="G86" i="3"/>
  <c r="F86" i="3"/>
  <c r="E86" i="3"/>
  <c r="D86" i="3"/>
  <c r="B86" i="3"/>
  <c r="C86" i="3" s="1"/>
  <c r="A86" i="3"/>
  <c r="I86" i="3" s="1"/>
  <c r="G85" i="3"/>
  <c r="F85" i="3"/>
  <c r="E85" i="3"/>
  <c r="D85" i="3"/>
  <c r="B85" i="3"/>
  <c r="C85" i="3" s="1"/>
  <c r="A85" i="3"/>
  <c r="H85" i="3" s="1"/>
  <c r="G84" i="3"/>
  <c r="F84" i="3"/>
  <c r="E84" i="3"/>
  <c r="D84" i="3"/>
  <c r="B84" i="3"/>
  <c r="C84" i="3" s="1"/>
  <c r="A84" i="3"/>
  <c r="H84" i="3" s="1"/>
  <c r="G83" i="3"/>
  <c r="F83" i="3"/>
  <c r="E83" i="3"/>
  <c r="D83" i="3"/>
  <c r="B83" i="3"/>
  <c r="C83" i="3" s="1"/>
  <c r="A83" i="3"/>
  <c r="I83" i="3" s="1"/>
  <c r="G82" i="3"/>
  <c r="F82" i="3"/>
  <c r="E82" i="3"/>
  <c r="D82" i="3"/>
  <c r="B82" i="3"/>
  <c r="C82" i="3" s="1"/>
  <c r="A82" i="3"/>
  <c r="I82" i="3" s="1"/>
  <c r="G81" i="3"/>
  <c r="F81" i="3"/>
  <c r="E81" i="3"/>
  <c r="D81" i="3"/>
  <c r="B81" i="3"/>
  <c r="C81" i="3" s="1"/>
  <c r="A81" i="3"/>
  <c r="H81" i="3" s="1"/>
  <c r="G80" i="3"/>
  <c r="F80" i="3"/>
  <c r="E80" i="3"/>
  <c r="D80" i="3"/>
  <c r="B80" i="3"/>
  <c r="C80" i="3" s="1"/>
  <c r="A80" i="3"/>
  <c r="H80" i="3" s="1"/>
  <c r="G79" i="3"/>
  <c r="F79" i="3"/>
  <c r="E79" i="3"/>
  <c r="D79" i="3"/>
  <c r="B79" i="3"/>
  <c r="C79" i="3" s="1"/>
  <c r="A79" i="3"/>
  <c r="I79" i="3" s="1"/>
  <c r="G78" i="3"/>
  <c r="F78" i="3"/>
  <c r="E78" i="3"/>
  <c r="D78" i="3"/>
  <c r="B78" i="3"/>
  <c r="C78" i="3" s="1"/>
  <c r="A78" i="3"/>
  <c r="I78" i="3" s="1"/>
  <c r="G77" i="3"/>
  <c r="F77" i="3"/>
  <c r="E77" i="3"/>
  <c r="D77" i="3"/>
  <c r="B77" i="3"/>
  <c r="C77" i="3" s="1"/>
  <c r="A77" i="3"/>
  <c r="I77" i="3" s="1"/>
  <c r="G76" i="3"/>
  <c r="F76" i="3"/>
  <c r="E76" i="3"/>
  <c r="D76" i="3"/>
  <c r="B76" i="3"/>
  <c r="C76" i="3" s="1"/>
  <c r="A76" i="3"/>
  <c r="H76" i="3" s="1"/>
  <c r="G75" i="3"/>
  <c r="F75" i="3"/>
  <c r="E75" i="3"/>
  <c r="D75" i="3"/>
  <c r="B75" i="3"/>
  <c r="C75" i="3" s="1"/>
  <c r="A75" i="3"/>
  <c r="I75" i="3" s="1"/>
  <c r="G74" i="3"/>
  <c r="F74" i="3"/>
  <c r="E74" i="3"/>
  <c r="D74" i="3"/>
  <c r="B74" i="3"/>
  <c r="C74" i="3" s="1"/>
  <c r="A74" i="3"/>
  <c r="I74" i="3" s="1"/>
  <c r="G73" i="3"/>
  <c r="F73" i="3"/>
  <c r="E73" i="3"/>
  <c r="D73" i="3"/>
  <c r="B73" i="3"/>
  <c r="C73" i="3" s="1"/>
  <c r="A73" i="3"/>
  <c r="I73" i="3" s="1"/>
  <c r="G72" i="3"/>
  <c r="F72" i="3"/>
  <c r="E72" i="3"/>
  <c r="D72" i="3"/>
  <c r="B72" i="3"/>
  <c r="C72" i="3" s="1"/>
  <c r="A72" i="3"/>
  <c r="H72" i="3" s="1"/>
  <c r="G71" i="3"/>
  <c r="F71" i="3"/>
  <c r="E71" i="3"/>
  <c r="D71" i="3"/>
  <c r="B71" i="3"/>
  <c r="C71" i="3" s="1"/>
  <c r="A71" i="3"/>
  <c r="I71" i="3" s="1"/>
  <c r="G70" i="3"/>
  <c r="F70" i="3"/>
  <c r="E70" i="3"/>
  <c r="D70" i="3"/>
  <c r="B70" i="3"/>
  <c r="C70" i="3" s="1"/>
  <c r="A70" i="3"/>
  <c r="I70" i="3" s="1"/>
  <c r="G69" i="3"/>
  <c r="F69" i="3"/>
  <c r="E69" i="3"/>
  <c r="D69" i="3"/>
  <c r="B69" i="3"/>
  <c r="C69" i="3" s="1"/>
  <c r="A69" i="3"/>
  <c r="H69" i="3" s="1"/>
  <c r="G68" i="3"/>
  <c r="F68" i="3"/>
  <c r="E68" i="3"/>
  <c r="D68" i="3"/>
  <c r="B68" i="3"/>
  <c r="C68" i="3" s="1"/>
  <c r="A68" i="3"/>
  <c r="H68" i="3" s="1"/>
  <c r="G67" i="3"/>
  <c r="F67" i="3"/>
  <c r="E67" i="3"/>
  <c r="D67" i="3"/>
  <c r="B67" i="3"/>
  <c r="C67" i="3" s="1"/>
  <c r="A67" i="3"/>
  <c r="H67" i="3" s="1"/>
  <c r="G66" i="3"/>
  <c r="F66" i="3"/>
  <c r="E66" i="3"/>
  <c r="D66" i="3"/>
  <c r="B66" i="3"/>
  <c r="C66" i="3" s="1"/>
  <c r="A66" i="3"/>
  <c r="I66" i="3" s="1"/>
  <c r="G65" i="3"/>
  <c r="F65" i="3"/>
  <c r="E65" i="3"/>
  <c r="D65" i="3"/>
  <c r="B65" i="3"/>
  <c r="C65" i="3" s="1"/>
  <c r="A65" i="3"/>
  <c r="I65" i="3" s="1"/>
  <c r="G64" i="3"/>
  <c r="F64" i="3"/>
  <c r="E64" i="3"/>
  <c r="D64" i="3"/>
  <c r="B64" i="3"/>
  <c r="C64" i="3" s="1"/>
  <c r="A64" i="3"/>
  <c r="I64" i="3" s="1"/>
  <c r="G63" i="3"/>
  <c r="F63" i="3"/>
  <c r="E63" i="3"/>
  <c r="D63" i="3"/>
  <c r="B63" i="3"/>
  <c r="C63" i="3" s="1"/>
  <c r="A63" i="3"/>
  <c r="I63" i="3" s="1"/>
  <c r="G62" i="3"/>
  <c r="F62" i="3"/>
  <c r="E62" i="3"/>
  <c r="D62" i="3"/>
  <c r="B62" i="3"/>
  <c r="C62" i="3" s="1"/>
  <c r="A62" i="3"/>
  <c r="I62" i="3" s="1"/>
  <c r="G61" i="3"/>
  <c r="F61" i="3"/>
  <c r="E61" i="3"/>
  <c r="D61" i="3"/>
  <c r="B61" i="3"/>
  <c r="C61" i="3" s="1"/>
  <c r="A61" i="3"/>
  <c r="I61" i="3" s="1"/>
  <c r="G60" i="3"/>
  <c r="F60" i="3"/>
  <c r="E60" i="3"/>
  <c r="D60" i="3"/>
  <c r="B60" i="3"/>
  <c r="C60" i="3" s="1"/>
  <c r="A60" i="3"/>
  <c r="I60" i="3" s="1"/>
  <c r="G59" i="3"/>
  <c r="F59" i="3"/>
  <c r="E59" i="3"/>
  <c r="D59" i="3"/>
  <c r="B59" i="3"/>
  <c r="C59" i="3" s="1"/>
  <c r="A59" i="3"/>
  <c r="I59" i="3" s="1"/>
  <c r="G58" i="3"/>
  <c r="F58" i="3"/>
  <c r="E58" i="3"/>
  <c r="D58" i="3"/>
  <c r="B58" i="3"/>
  <c r="C58" i="3" s="1"/>
  <c r="A58" i="3"/>
  <c r="I58" i="3" s="1"/>
  <c r="G57" i="3"/>
  <c r="F57" i="3"/>
  <c r="E57" i="3"/>
  <c r="D57" i="3"/>
  <c r="B57" i="3"/>
  <c r="C57" i="3" s="1"/>
  <c r="A57" i="3"/>
  <c r="I57" i="3" s="1"/>
  <c r="G56" i="3"/>
  <c r="F56" i="3"/>
  <c r="E56" i="3"/>
  <c r="D56" i="3"/>
  <c r="B56" i="3"/>
  <c r="C56" i="3" s="1"/>
  <c r="A56" i="3"/>
  <c r="I56" i="3" s="1"/>
  <c r="G55" i="3"/>
  <c r="F55" i="3"/>
  <c r="E55" i="3"/>
  <c r="D55" i="3"/>
  <c r="B55" i="3"/>
  <c r="C55" i="3" s="1"/>
  <c r="A55" i="3"/>
  <c r="I55" i="3" s="1"/>
  <c r="G54" i="3"/>
  <c r="F54" i="3"/>
  <c r="E54" i="3"/>
  <c r="D54" i="3"/>
  <c r="B54" i="3"/>
  <c r="C54" i="3" s="1"/>
  <c r="A54" i="3"/>
  <c r="I54" i="3" s="1"/>
  <c r="G53" i="3"/>
  <c r="F53" i="3"/>
  <c r="E53" i="3"/>
  <c r="D53" i="3"/>
  <c r="B53" i="3"/>
  <c r="C53" i="3" s="1"/>
  <c r="A53" i="3"/>
  <c r="I53" i="3" s="1"/>
  <c r="G52" i="3"/>
  <c r="F52" i="3"/>
  <c r="E52" i="3"/>
  <c r="D52" i="3"/>
  <c r="B52" i="3"/>
  <c r="C52" i="3" s="1"/>
  <c r="A52" i="3"/>
  <c r="I52" i="3" s="1"/>
  <c r="G51" i="3"/>
  <c r="F51" i="3"/>
  <c r="E51" i="3"/>
  <c r="D51" i="3"/>
  <c r="B51" i="3"/>
  <c r="C51" i="3" s="1"/>
  <c r="A51" i="3"/>
  <c r="I51" i="3" s="1"/>
  <c r="G50" i="3"/>
  <c r="F50" i="3"/>
  <c r="E50" i="3"/>
  <c r="D50" i="3"/>
  <c r="B50" i="3"/>
  <c r="C50" i="3" s="1"/>
  <c r="A50" i="3"/>
  <c r="I50" i="3" s="1"/>
  <c r="G49" i="3"/>
  <c r="F49" i="3"/>
  <c r="E49" i="3"/>
  <c r="D49" i="3"/>
  <c r="B49" i="3"/>
  <c r="C49" i="3" s="1"/>
  <c r="A49" i="3"/>
  <c r="I49" i="3" s="1"/>
  <c r="G48" i="3"/>
  <c r="F48" i="3"/>
  <c r="E48" i="3"/>
  <c r="D48" i="3"/>
  <c r="B48" i="3"/>
  <c r="C48" i="3" s="1"/>
  <c r="A48" i="3"/>
  <c r="I48" i="3" s="1"/>
  <c r="G47" i="3"/>
  <c r="F47" i="3"/>
  <c r="E47" i="3"/>
  <c r="D47" i="3"/>
  <c r="B47" i="3"/>
  <c r="C47" i="3" s="1"/>
  <c r="A47" i="3"/>
  <c r="I47" i="3" s="1"/>
  <c r="G46" i="3"/>
  <c r="F46" i="3"/>
  <c r="E46" i="3"/>
  <c r="D46" i="3"/>
  <c r="B46" i="3"/>
  <c r="C46" i="3" s="1"/>
  <c r="A46" i="3"/>
  <c r="I46" i="3" s="1"/>
  <c r="G45" i="3"/>
  <c r="F45" i="3"/>
  <c r="E45" i="3"/>
  <c r="D45" i="3"/>
  <c r="B45" i="3"/>
  <c r="C45" i="3" s="1"/>
  <c r="A45" i="3"/>
  <c r="I45" i="3" s="1"/>
  <c r="G44" i="3"/>
  <c r="F44" i="3"/>
  <c r="E44" i="3"/>
  <c r="D44" i="3"/>
  <c r="B44" i="3"/>
  <c r="C44" i="3" s="1"/>
  <c r="A44" i="3"/>
  <c r="I44" i="3" s="1"/>
  <c r="G43" i="3"/>
  <c r="F43" i="3"/>
  <c r="E43" i="3"/>
  <c r="D43" i="3"/>
  <c r="B43" i="3"/>
  <c r="C43" i="3" s="1"/>
  <c r="A43" i="3"/>
  <c r="H43" i="3" s="1"/>
  <c r="G42" i="3"/>
  <c r="F42" i="3"/>
  <c r="E42" i="3"/>
  <c r="D42" i="3"/>
  <c r="B42" i="3"/>
  <c r="C42" i="3" s="1"/>
  <c r="A42" i="3"/>
  <c r="I42" i="3" s="1"/>
  <c r="G41" i="3"/>
  <c r="F41" i="3"/>
  <c r="E41" i="3"/>
  <c r="D41" i="3"/>
  <c r="B41" i="3"/>
  <c r="C41" i="3" s="1"/>
  <c r="A41" i="3"/>
  <c r="I41" i="3" s="1"/>
  <c r="G40" i="3"/>
  <c r="F40" i="3"/>
  <c r="E40" i="3"/>
  <c r="D40" i="3"/>
  <c r="B40" i="3"/>
  <c r="C40" i="3" s="1"/>
  <c r="A40" i="3"/>
  <c r="I40" i="3" s="1"/>
  <c r="G39" i="3"/>
  <c r="F39" i="3"/>
  <c r="E39" i="3"/>
  <c r="D39" i="3"/>
  <c r="B39" i="3"/>
  <c r="C39" i="3" s="1"/>
  <c r="A39" i="3"/>
  <c r="H39" i="3" s="1"/>
  <c r="G38" i="3"/>
  <c r="F38" i="3"/>
  <c r="E38" i="3"/>
  <c r="D38" i="3"/>
  <c r="B38" i="3"/>
  <c r="C38" i="3" s="1"/>
  <c r="A38" i="3"/>
  <c r="I38" i="3" s="1"/>
  <c r="G37" i="3"/>
  <c r="F37" i="3"/>
  <c r="E37" i="3"/>
  <c r="D37" i="3"/>
  <c r="B37" i="3"/>
  <c r="C37" i="3" s="1"/>
  <c r="A37" i="3"/>
  <c r="I37" i="3" s="1"/>
  <c r="G36" i="3"/>
  <c r="F36" i="3"/>
  <c r="E36" i="3"/>
  <c r="D36" i="3"/>
  <c r="B36" i="3"/>
  <c r="C36" i="3" s="1"/>
  <c r="A36" i="3"/>
  <c r="I36" i="3" s="1"/>
  <c r="G35" i="3"/>
  <c r="F35" i="3"/>
  <c r="E35" i="3"/>
  <c r="D35" i="3"/>
  <c r="B35" i="3"/>
  <c r="C35" i="3" s="1"/>
  <c r="A35" i="3"/>
  <c r="I35" i="3" s="1"/>
  <c r="G34" i="3"/>
  <c r="F34" i="3"/>
  <c r="E34" i="3"/>
  <c r="D34" i="3"/>
  <c r="B34" i="3"/>
  <c r="C34" i="3" s="1"/>
  <c r="A34" i="3"/>
  <c r="I34" i="3" s="1"/>
  <c r="G33" i="3"/>
  <c r="F33" i="3"/>
  <c r="E33" i="3"/>
  <c r="D33" i="3"/>
  <c r="B33" i="3"/>
  <c r="C33" i="3" s="1"/>
  <c r="A33" i="3"/>
  <c r="I33" i="3" s="1"/>
  <c r="G32" i="3"/>
  <c r="F32" i="3"/>
  <c r="E32" i="3"/>
  <c r="D32" i="3"/>
  <c r="B32" i="3"/>
  <c r="C32" i="3" s="1"/>
  <c r="A32" i="3"/>
  <c r="I32" i="3" s="1"/>
  <c r="G31" i="3"/>
  <c r="F31" i="3"/>
  <c r="E31" i="3"/>
  <c r="D31" i="3"/>
  <c r="B31" i="3"/>
  <c r="C31" i="3" s="1"/>
  <c r="A31" i="3"/>
  <c r="I31" i="3" s="1"/>
  <c r="G30" i="3"/>
  <c r="F30" i="3"/>
  <c r="E30" i="3"/>
  <c r="D30" i="3"/>
  <c r="B30" i="3"/>
  <c r="C30" i="3" s="1"/>
  <c r="A30" i="3"/>
  <c r="I30" i="3" s="1"/>
  <c r="G29" i="3"/>
  <c r="F29" i="3"/>
  <c r="E29" i="3"/>
  <c r="D29" i="3"/>
  <c r="B29" i="3"/>
  <c r="C29" i="3" s="1"/>
  <c r="A29" i="3"/>
  <c r="I29" i="3" s="1"/>
  <c r="G28" i="3"/>
  <c r="F28" i="3"/>
  <c r="E28" i="3"/>
  <c r="D28" i="3"/>
  <c r="B28" i="3"/>
  <c r="C28" i="3" s="1"/>
  <c r="A28" i="3"/>
  <c r="I28" i="3" s="1"/>
  <c r="G27" i="3"/>
  <c r="F27" i="3"/>
  <c r="E27" i="3"/>
  <c r="D27" i="3"/>
  <c r="B27" i="3"/>
  <c r="C27" i="3" s="1"/>
  <c r="A27" i="3"/>
  <c r="H27" i="3" s="1"/>
  <c r="G26" i="3"/>
  <c r="F26" i="3"/>
  <c r="E26" i="3"/>
  <c r="D26" i="3"/>
  <c r="B26" i="3"/>
  <c r="C26" i="3" s="1"/>
  <c r="A26" i="3"/>
  <c r="I26" i="3" s="1"/>
  <c r="G25" i="3"/>
  <c r="F25" i="3"/>
  <c r="E25" i="3"/>
  <c r="D25" i="3"/>
  <c r="B25" i="3"/>
  <c r="C25" i="3" s="1"/>
  <c r="A25" i="3"/>
  <c r="I25" i="3" s="1"/>
  <c r="G24" i="3"/>
  <c r="F24" i="3"/>
  <c r="E24" i="3"/>
  <c r="D24" i="3"/>
  <c r="B24" i="3"/>
  <c r="C24" i="3" s="1"/>
  <c r="A24" i="3"/>
  <c r="I24" i="3" s="1"/>
  <c r="G23" i="3"/>
  <c r="F23" i="3"/>
  <c r="E23" i="3"/>
  <c r="D23" i="3"/>
  <c r="B23" i="3"/>
  <c r="C23" i="3" s="1"/>
  <c r="A23" i="3"/>
  <c r="I23" i="3" s="1"/>
  <c r="G22" i="3"/>
  <c r="F22" i="3"/>
  <c r="E22" i="3"/>
  <c r="D22" i="3"/>
  <c r="B22" i="3"/>
  <c r="C22" i="3" s="1"/>
  <c r="A22" i="3"/>
  <c r="I22" i="3" s="1"/>
  <c r="G21" i="3"/>
  <c r="F21" i="3"/>
  <c r="E21" i="3"/>
  <c r="D21" i="3"/>
  <c r="B21" i="3"/>
  <c r="C21" i="3" s="1"/>
  <c r="A21" i="3"/>
  <c r="I21" i="3" s="1"/>
  <c r="G20" i="3"/>
  <c r="F20" i="3"/>
  <c r="E20" i="3"/>
  <c r="D20" i="3"/>
  <c r="B20" i="3"/>
  <c r="C20" i="3" s="1"/>
  <c r="A20" i="3"/>
  <c r="I20" i="3" s="1"/>
  <c r="G19" i="3"/>
  <c r="F19" i="3"/>
  <c r="E19" i="3"/>
  <c r="D19" i="3"/>
  <c r="B19" i="3"/>
  <c r="C19" i="3" s="1"/>
  <c r="A19" i="3"/>
  <c r="I19" i="3" s="1"/>
  <c r="G18" i="3"/>
  <c r="F18" i="3"/>
  <c r="E18" i="3"/>
  <c r="D18" i="3"/>
  <c r="B18" i="3"/>
  <c r="C18" i="3" s="1"/>
  <c r="A18" i="3"/>
  <c r="I18" i="3" s="1"/>
  <c r="G17" i="3"/>
  <c r="F17" i="3"/>
  <c r="E17" i="3"/>
  <c r="D17" i="3"/>
  <c r="B17" i="3"/>
  <c r="C17" i="3" s="1"/>
  <c r="A17" i="3"/>
  <c r="I17" i="3" s="1"/>
  <c r="G16" i="3"/>
  <c r="F16" i="3"/>
  <c r="E16" i="3"/>
  <c r="D16" i="3"/>
  <c r="B16" i="3"/>
  <c r="C16" i="3" s="1"/>
  <c r="A16" i="3"/>
  <c r="I16" i="3" s="1"/>
  <c r="G15" i="3"/>
  <c r="F15" i="3"/>
  <c r="E15" i="3"/>
  <c r="D15" i="3"/>
  <c r="B15" i="3"/>
  <c r="C15" i="3" s="1"/>
  <c r="A15" i="3"/>
  <c r="H15" i="3" s="1"/>
  <c r="G14" i="3"/>
  <c r="F14" i="3"/>
  <c r="E14" i="3"/>
  <c r="D14" i="3"/>
  <c r="B14" i="3"/>
  <c r="C14" i="3" s="1"/>
  <c r="A14" i="3"/>
  <c r="I14" i="3" s="1"/>
  <c r="G13" i="3"/>
  <c r="F13" i="3"/>
  <c r="E13" i="3"/>
  <c r="D13" i="3"/>
  <c r="B13" i="3"/>
  <c r="C13" i="3" s="1"/>
  <c r="A13" i="3"/>
  <c r="I13" i="3" s="1"/>
  <c r="G12" i="3"/>
  <c r="F12" i="3"/>
  <c r="E12" i="3"/>
  <c r="D12" i="3"/>
  <c r="B12" i="3"/>
  <c r="C12" i="3" s="1"/>
  <c r="A12" i="3"/>
  <c r="I12" i="3" s="1"/>
  <c r="G11" i="3"/>
  <c r="F11" i="3"/>
  <c r="E11" i="3"/>
  <c r="D11" i="3"/>
  <c r="B11" i="3"/>
  <c r="C11" i="3" s="1"/>
  <c r="A11" i="3"/>
  <c r="I11" i="3" s="1"/>
  <c r="G10" i="3"/>
  <c r="F10" i="3"/>
  <c r="E10" i="3"/>
  <c r="D10" i="3"/>
  <c r="B10" i="3"/>
  <c r="C10" i="3" s="1"/>
  <c r="A10" i="3"/>
  <c r="I10" i="3" s="1"/>
  <c r="G9" i="3"/>
  <c r="F9" i="3"/>
  <c r="E9" i="3"/>
  <c r="D9" i="3"/>
  <c r="B9" i="3"/>
  <c r="C9" i="3" s="1"/>
  <c r="A9" i="3"/>
  <c r="I9" i="3" s="1"/>
  <c r="G8" i="3"/>
  <c r="F8" i="3"/>
  <c r="E8" i="3"/>
  <c r="D8" i="3"/>
  <c r="B8" i="3"/>
  <c r="C8" i="3" s="1"/>
  <c r="A8" i="3"/>
  <c r="I8" i="3" s="1"/>
  <c r="G7" i="3"/>
  <c r="F7" i="3"/>
  <c r="E7" i="3"/>
  <c r="D7" i="3"/>
  <c r="B7" i="3"/>
  <c r="C7" i="3" s="1"/>
  <c r="A7" i="3"/>
  <c r="I7" i="3" s="1"/>
  <c r="G6" i="3"/>
  <c r="F6" i="3"/>
  <c r="E6" i="3"/>
  <c r="D6" i="3"/>
  <c r="B6" i="3"/>
  <c r="C6" i="3" s="1"/>
  <c r="A6" i="3"/>
  <c r="I6" i="3" s="1"/>
  <c r="G5" i="3"/>
  <c r="F5" i="3"/>
  <c r="E5" i="3"/>
  <c r="D5" i="3"/>
  <c r="B5" i="3"/>
  <c r="C5" i="3" s="1"/>
  <c r="A5" i="3"/>
  <c r="I5" i="3" s="1"/>
  <c r="G4" i="3"/>
  <c r="F4" i="3"/>
  <c r="E4" i="3"/>
  <c r="D4" i="3"/>
  <c r="B4" i="3"/>
  <c r="C4" i="3" s="1"/>
  <c r="A4" i="3"/>
  <c r="I4" i="3" s="1"/>
  <c r="G3" i="3"/>
  <c r="F3" i="3"/>
  <c r="E3" i="3"/>
  <c r="D3" i="3"/>
  <c r="B3" i="3"/>
  <c r="C3" i="3" s="1"/>
  <c r="A3" i="3"/>
  <c r="I3" i="3" s="1"/>
  <c r="G2" i="3"/>
  <c r="F2" i="3"/>
  <c r="E2" i="3"/>
  <c r="D2" i="3"/>
  <c r="B2" i="3"/>
  <c r="C2" i="3" s="1"/>
  <c r="A2" i="3"/>
  <c r="I2" i="3" s="1"/>
  <c r="E9" i="5" l="1"/>
  <c r="B5" i="5"/>
  <c r="E6" i="5"/>
  <c r="D7" i="5"/>
  <c r="C8" i="5"/>
  <c r="D6" i="5"/>
  <c r="C5" i="5"/>
  <c r="B6" i="5"/>
  <c r="E7" i="5"/>
  <c r="D8" i="5"/>
  <c r="D5" i="5"/>
  <c r="B7" i="5"/>
  <c r="E8" i="5"/>
  <c r="C7" i="5"/>
  <c r="C6" i="5"/>
  <c r="E5" i="5"/>
  <c r="B8" i="5"/>
  <c r="D9" i="5"/>
  <c r="B14" i="7"/>
  <c r="I301" i="3"/>
  <c r="B15" i="7"/>
  <c r="H90" i="3"/>
  <c r="B12" i="7"/>
  <c r="H203" i="3"/>
  <c r="H206" i="3"/>
  <c r="H207" i="3"/>
  <c r="H379" i="3"/>
  <c r="H407" i="3"/>
  <c r="H115" i="3"/>
  <c r="I374" i="3"/>
  <c r="I404" i="3"/>
  <c r="H405" i="3"/>
  <c r="I406" i="3"/>
  <c r="H408" i="3"/>
  <c r="H409" i="3"/>
  <c r="B13" i="7"/>
  <c r="H24" i="3"/>
  <c r="I161" i="3"/>
  <c r="H291" i="3"/>
  <c r="I357" i="3"/>
  <c r="H9" i="3"/>
  <c r="H28" i="3"/>
  <c r="H93" i="3"/>
  <c r="H259" i="3"/>
  <c r="I262" i="3"/>
  <c r="H263" i="3"/>
  <c r="I264" i="3"/>
  <c r="H352" i="3"/>
  <c r="H463" i="3"/>
  <c r="H339" i="3"/>
  <c r="H356" i="3"/>
  <c r="H363" i="3"/>
  <c r="H4" i="3"/>
  <c r="I89" i="3"/>
  <c r="H95" i="3"/>
  <c r="I108" i="3"/>
  <c r="H336" i="3"/>
  <c r="H427" i="3"/>
  <c r="B4" i="7"/>
  <c r="I193" i="3"/>
  <c r="I225" i="3"/>
  <c r="H269" i="3"/>
  <c r="B11" i="7"/>
  <c r="I76" i="3"/>
  <c r="I333" i="3"/>
  <c r="H354" i="3"/>
  <c r="H355" i="3"/>
  <c r="H360" i="3"/>
  <c r="H435" i="3"/>
  <c r="I454" i="3"/>
  <c r="H465" i="3"/>
  <c r="H497" i="3"/>
  <c r="H12" i="3"/>
  <c r="H134" i="3"/>
  <c r="H332" i="3"/>
  <c r="H348" i="3"/>
  <c r="I353" i="3"/>
  <c r="H358" i="3"/>
  <c r="H359" i="3"/>
  <c r="I375" i="3"/>
  <c r="I380" i="3"/>
  <c r="H413" i="3"/>
  <c r="I430" i="3"/>
  <c r="H401" i="3"/>
  <c r="I142" i="3"/>
  <c r="H142" i="3"/>
  <c r="H165" i="3"/>
  <c r="I165" i="3"/>
  <c r="I198" i="3"/>
  <c r="H198" i="3"/>
  <c r="I230" i="3"/>
  <c r="H230" i="3"/>
  <c r="I238" i="3"/>
  <c r="H238" i="3"/>
  <c r="H278" i="3"/>
  <c r="I278" i="3"/>
  <c r="H280" i="3"/>
  <c r="I280" i="3"/>
  <c r="H284" i="3"/>
  <c r="I284" i="3"/>
  <c r="I286" i="3"/>
  <c r="H286" i="3"/>
  <c r="I338" i="3"/>
  <c r="I340" i="3"/>
  <c r="H340" i="3"/>
  <c r="I377" i="3"/>
  <c r="H377" i="3"/>
  <c r="I384" i="3"/>
  <c r="H384" i="3"/>
  <c r="I423" i="3"/>
  <c r="H423" i="3"/>
  <c r="I432" i="3"/>
  <c r="H432" i="3"/>
  <c r="H471" i="3"/>
  <c r="I471" i="3"/>
  <c r="B11" i="4"/>
  <c r="B19" i="4"/>
  <c r="I4" i="6" s="1"/>
  <c r="H8" i="3"/>
  <c r="H16" i="3"/>
  <c r="H32" i="3"/>
  <c r="I85" i="3"/>
  <c r="H86" i="3"/>
  <c r="H87" i="3"/>
  <c r="I88" i="3"/>
  <c r="H105" i="3"/>
  <c r="H107" i="3"/>
  <c r="I129" i="3"/>
  <c r="I139" i="3"/>
  <c r="H139" i="3"/>
  <c r="I147" i="3"/>
  <c r="H147" i="3"/>
  <c r="I167" i="3"/>
  <c r="H167" i="3"/>
  <c r="I175" i="3"/>
  <c r="H175" i="3"/>
  <c r="I187" i="3"/>
  <c r="H187" i="3"/>
  <c r="I314" i="3"/>
  <c r="H314" i="3"/>
  <c r="I316" i="3"/>
  <c r="H316" i="3"/>
  <c r="I337" i="3"/>
  <c r="H436" i="3"/>
  <c r="I436" i="3"/>
  <c r="H500" i="3"/>
  <c r="I500" i="3"/>
  <c r="H5" i="3"/>
  <c r="H13" i="3"/>
  <c r="H20" i="3"/>
  <c r="H36" i="3"/>
  <c r="H77" i="3"/>
  <c r="H79" i="3"/>
  <c r="I84" i="3"/>
  <c r="I101" i="3"/>
  <c r="H102" i="3"/>
  <c r="H103" i="3"/>
  <c r="I104" i="3"/>
  <c r="H106" i="3"/>
  <c r="I116" i="3"/>
  <c r="I133" i="3"/>
  <c r="I146" i="3"/>
  <c r="H146" i="3"/>
  <c r="I166" i="3"/>
  <c r="H166" i="3"/>
  <c r="I174" i="3"/>
  <c r="H174" i="3"/>
  <c r="H197" i="3"/>
  <c r="I197" i="3"/>
  <c r="I199" i="3"/>
  <c r="H199" i="3"/>
  <c r="H229" i="3"/>
  <c r="I229" i="3"/>
  <c r="I231" i="3"/>
  <c r="H231" i="3"/>
  <c r="I235" i="3"/>
  <c r="H235" i="3"/>
  <c r="I239" i="3"/>
  <c r="H239" i="3"/>
  <c r="I271" i="3"/>
  <c r="H271" i="3"/>
  <c r="I275" i="3"/>
  <c r="H275" i="3"/>
  <c r="I279" i="3"/>
  <c r="H279" i="3"/>
  <c r="I283" i="3"/>
  <c r="H283" i="3"/>
  <c r="I285" i="3"/>
  <c r="H285" i="3"/>
  <c r="I287" i="3"/>
  <c r="H287" i="3"/>
  <c r="H302" i="3"/>
  <c r="I381" i="3"/>
  <c r="H381" i="3"/>
  <c r="I385" i="3"/>
  <c r="H385" i="3"/>
  <c r="I393" i="3"/>
  <c r="H393" i="3"/>
  <c r="H414" i="3"/>
  <c r="I414" i="3"/>
  <c r="I431" i="3"/>
  <c r="H431" i="3"/>
  <c r="I433" i="3"/>
  <c r="H433" i="3"/>
  <c r="I493" i="3"/>
  <c r="H493" i="3"/>
  <c r="H78" i="3"/>
  <c r="I135" i="3"/>
  <c r="H135" i="3"/>
  <c r="I143" i="3"/>
  <c r="H143" i="3"/>
  <c r="I171" i="3"/>
  <c r="H171" i="3"/>
  <c r="I305" i="3"/>
  <c r="H305" i="3"/>
  <c r="I311" i="3"/>
  <c r="H311" i="3"/>
  <c r="H315" i="3"/>
  <c r="I315" i="3"/>
  <c r="H376" i="3"/>
  <c r="I437" i="3"/>
  <c r="H437" i="3"/>
  <c r="I501" i="3"/>
  <c r="H501" i="3"/>
  <c r="H391" i="3"/>
  <c r="H397" i="3"/>
  <c r="H419" i="3"/>
  <c r="H475" i="3"/>
  <c r="H479" i="3"/>
  <c r="H481" i="3"/>
  <c r="H491" i="3"/>
  <c r="I396" i="3"/>
  <c r="H472" i="3"/>
  <c r="H473" i="3"/>
  <c r="I474" i="3"/>
  <c r="H476" i="3"/>
  <c r="H477" i="3"/>
  <c r="I478" i="3"/>
  <c r="H480" i="3"/>
  <c r="C4" i="6"/>
  <c r="H2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I69" i="3"/>
  <c r="H70" i="3"/>
  <c r="H73" i="3"/>
  <c r="H75" i="3"/>
  <c r="H83" i="3"/>
  <c r="I92" i="3"/>
  <c r="H94" i="3"/>
  <c r="I100" i="3"/>
  <c r="H109" i="3"/>
  <c r="H111" i="3"/>
  <c r="I117" i="3"/>
  <c r="H118" i="3"/>
  <c r="H119" i="3"/>
  <c r="H123" i="3"/>
  <c r="H126" i="3"/>
  <c r="H127" i="3"/>
  <c r="I149" i="3"/>
  <c r="H150" i="3"/>
  <c r="H151" i="3"/>
  <c r="H155" i="3"/>
  <c r="H158" i="3"/>
  <c r="H159" i="3"/>
  <c r="I181" i="3"/>
  <c r="H182" i="3"/>
  <c r="H190" i="3"/>
  <c r="H194" i="3"/>
  <c r="H195" i="3"/>
  <c r="H209" i="3"/>
  <c r="I209" i="3"/>
  <c r="I214" i="3"/>
  <c r="H214" i="3"/>
  <c r="I251" i="3"/>
  <c r="H251" i="3"/>
  <c r="I253" i="3"/>
  <c r="H253" i="3"/>
  <c r="I255" i="3"/>
  <c r="H255" i="3"/>
  <c r="I257" i="3"/>
  <c r="H257" i="3"/>
  <c r="I273" i="3"/>
  <c r="H273" i="3"/>
  <c r="I289" i="3"/>
  <c r="H289" i="3"/>
  <c r="I343" i="3"/>
  <c r="H343" i="3"/>
  <c r="H17" i="3"/>
  <c r="H21" i="3"/>
  <c r="H25" i="3"/>
  <c r="H29" i="3"/>
  <c r="H33" i="3"/>
  <c r="H37" i="3"/>
  <c r="H40" i="3"/>
  <c r="H41" i="3"/>
  <c r="H44" i="3"/>
  <c r="H45" i="3"/>
  <c r="H48" i="3"/>
  <c r="H49" i="3"/>
  <c r="H52" i="3"/>
  <c r="H53" i="3"/>
  <c r="H56" i="3"/>
  <c r="H57" i="3"/>
  <c r="H60" i="3"/>
  <c r="H61" i="3"/>
  <c r="H64" i="3"/>
  <c r="H65" i="3"/>
  <c r="I68" i="3"/>
  <c r="H71" i="3"/>
  <c r="I72" i="3"/>
  <c r="H74" i="3"/>
  <c r="H91" i="3"/>
  <c r="H99" i="3"/>
  <c r="H110" i="3"/>
  <c r="H130" i="3"/>
  <c r="H131" i="3"/>
  <c r="H162" i="3"/>
  <c r="H163" i="3"/>
  <c r="I222" i="3"/>
  <c r="H222" i="3"/>
  <c r="H226" i="3"/>
  <c r="H227" i="3"/>
  <c r="H241" i="3"/>
  <c r="I241" i="3"/>
  <c r="I246" i="3"/>
  <c r="H246" i="3"/>
  <c r="H295" i="3"/>
  <c r="H299" i="3"/>
  <c r="I300" i="3"/>
  <c r="I303" i="3"/>
  <c r="H303" i="3"/>
  <c r="H325" i="3"/>
  <c r="I325" i="3"/>
  <c r="I327" i="3"/>
  <c r="H327" i="3"/>
  <c r="H213" i="3"/>
  <c r="I213" i="3"/>
  <c r="I215" i="3"/>
  <c r="H215" i="3"/>
  <c r="H252" i="3"/>
  <c r="I252" i="3"/>
  <c r="I254" i="3"/>
  <c r="H254" i="3"/>
  <c r="I320" i="3"/>
  <c r="H320" i="3"/>
  <c r="I342" i="3"/>
  <c r="H342" i="3"/>
  <c r="I344" i="3"/>
  <c r="H344" i="3"/>
  <c r="I145" i="3"/>
  <c r="I177" i="3"/>
  <c r="H178" i="3"/>
  <c r="H179" i="3"/>
  <c r="H183" i="3"/>
  <c r="H191" i="3"/>
  <c r="I219" i="3"/>
  <c r="H219" i="3"/>
  <c r="I223" i="3"/>
  <c r="H223" i="3"/>
  <c r="H245" i="3"/>
  <c r="I245" i="3"/>
  <c r="I247" i="3"/>
  <c r="H247" i="3"/>
  <c r="I307" i="3"/>
  <c r="H307" i="3"/>
  <c r="I324" i="3"/>
  <c r="H324" i="3"/>
  <c r="I326" i="3"/>
  <c r="H326" i="3"/>
  <c r="I328" i="3"/>
  <c r="H328" i="3"/>
  <c r="H489" i="3"/>
  <c r="I490" i="3"/>
  <c r="H492" i="3"/>
  <c r="H495" i="3"/>
  <c r="H210" i="3"/>
  <c r="H211" i="3"/>
  <c r="H242" i="3"/>
  <c r="H243" i="3"/>
  <c r="H267" i="3"/>
  <c r="I268" i="3"/>
  <c r="H270" i="3"/>
  <c r="I331" i="3"/>
  <c r="I350" i="3"/>
  <c r="H365" i="3"/>
  <c r="H371" i="3"/>
  <c r="H373" i="3"/>
  <c r="I390" i="3"/>
  <c r="H392" i="3"/>
  <c r="I415" i="3"/>
  <c r="I416" i="3"/>
  <c r="H417" i="3"/>
  <c r="I418" i="3"/>
  <c r="H420" i="3"/>
  <c r="H421" i="3"/>
  <c r="I422" i="3"/>
  <c r="H424" i="3"/>
  <c r="H425" i="3"/>
  <c r="H429" i="3"/>
  <c r="H447" i="3"/>
  <c r="H453" i="3"/>
  <c r="H457" i="3"/>
  <c r="H461" i="3"/>
  <c r="I462" i="3"/>
  <c r="H464" i="3"/>
  <c r="H485" i="3"/>
  <c r="I341" i="3"/>
  <c r="I349" i="3"/>
  <c r="I367" i="3"/>
  <c r="H368" i="3"/>
  <c r="H369" i="3"/>
  <c r="I370" i="3"/>
  <c r="H372" i="3"/>
  <c r="H389" i="3"/>
  <c r="I398" i="3"/>
  <c r="H441" i="3"/>
  <c r="H445" i="3"/>
  <c r="I446" i="3"/>
  <c r="H448" i="3"/>
  <c r="H449" i="3"/>
  <c r="H469" i="3"/>
  <c r="I484" i="3"/>
  <c r="I15" i="3"/>
  <c r="I27" i="3"/>
  <c r="I39" i="3"/>
  <c r="I43" i="3"/>
  <c r="I67" i="3"/>
  <c r="B16" i="4"/>
  <c r="G4" i="6" s="1"/>
  <c r="E4" i="6"/>
  <c r="B7" i="4"/>
  <c r="B6" i="4"/>
  <c r="B5" i="4"/>
  <c r="B9" i="4"/>
  <c r="B4" i="4"/>
  <c r="B8" i="4"/>
  <c r="B17" i="4"/>
  <c r="B10" i="4"/>
  <c r="B18" i="4"/>
  <c r="H3" i="3"/>
  <c r="H7" i="3"/>
  <c r="H11" i="3"/>
  <c r="H19" i="3"/>
  <c r="H23" i="3"/>
  <c r="H31" i="3"/>
  <c r="H35" i="3"/>
  <c r="H47" i="3"/>
  <c r="H51" i="3"/>
  <c r="H55" i="3"/>
  <c r="H59" i="3"/>
  <c r="H63" i="3"/>
  <c r="I80" i="3"/>
  <c r="I81" i="3"/>
  <c r="H82" i="3"/>
  <c r="I96" i="3"/>
  <c r="I97" i="3"/>
  <c r="H98" i="3"/>
  <c r="I112" i="3"/>
  <c r="I113" i="3"/>
  <c r="H114" i="3"/>
  <c r="I121" i="3"/>
  <c r="H122" i="3"/>
  <c r="I137" i="3"/>
  <c r="H138" i="3"/>
  <c r="I153" i="3"/>
  <c r="H154" i="3"/>
  <c r="I169" i="3"/>
  <c r="H170" i="3"/>
  <c r="I185" i="3"/>
  <c r="H186" i="3"/>
  <c r="I201" i="3"/>
  <c r="H202" i="3"/>
  <c r="I217" i="3"/>
  <c r="H218" i="3"/>
  <c r="I233" i="3"/>
  <c r="H234" i="3"/>
  <c r="I249" i="3"/>
  <c r="H250" i="3"/>
  <c r="I261" i="3"/>
  <c r="H261" i="3"/>
  <c r="I265" i="3"/>
  <c r="H266" i="3"/>
  <c r="I277" i="3"/>
  <c r="H277" i="3"/>
  <c r="I281" i="3"/>
  <c r="H282" i="3"/>
  <c r="H260" i="3"/>
  <c r="I260" i="3"/>
  <c r="H276" i="3"/>
  <c r="I276" i="3"/>
  <c r="I125" i="3"/>
  <c r="I141" i="3"/>
  <c r="I157" i="3"/>
  <c r="I173" i="3"/>
  <c r="I189" i="3"/>
  <c r="I205" i="3"/>
  <c r="I221" i="3"/>
  <c r="I237" i="3"/>
  <c r="I294" i="3"/>
  <c r="I296" i="3"/>
  <c r="I297" i="3"/>
  <c r="H298" i="3"/>
  <c r="I310" i="3"/>
  <c r="H313" i="3"/>
  <c r="I313" i="3"/>
  <c r="I323" i="3"/>
  <c r="I335" i="3"/>
  <c r="H345" i="3"/>
  <c r="I345" i="3"/>
  <c r="H351" i="3"/>
  <c r="H399" i="3"/>
  <c r="I399" i="3"/>
  <c r="I403" i="3"/>
  <c r="H403" i="3"/>
  <c r="I312" i="3"/>
  <c r="H312" i="3"/>
  <c r="H329" i="3"/>
  <c r="I329" i="3"/>
  <c r="I361" i="3"/>
  <c r="H361" i="3"/>
  <c r="H364" i="3"/>
  <c r="I364" i="3"/>
  <c r="H382" i="3"/>
  <c r="I382" i="3"/>
  <c r="H402" i="3"/>
  <c r="I402" i="3"/>
  <c r="I411" i="3"/>
  <c r="H411" i="3"/>
  <c r="H434" i="3"/>
  <c r="I434" i="3"/>
  <c r="H438" i="3"/>
  <c r="I438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I256" i="3"/>
  <c r="H258" i="3"/>
  <c r="I272" i="3"/>
  <c r="H274" i="3"/>
  <c r="I288" i="3"/>
  <c r="H290" i="3"/>
  <c r="H293" i="3"/>
  <c r="I304" i="3"/>
  <c r="H306" i="3"/>
  <c r="H309" i="3"/>
  <c r="I318" i="3"/>
  <c r="H319" i="3"/>
  <c r="H322" i="3"/>
  <c r="H330" i="3"/>
  <c r="I346" i="3"/>
  <c r="H346" i="3"/>
  <c r="H394" i="3"/>
  <c r="I394" i="3"/>
  <c r="I292" i="3"/>
  <c r="I308" i="3"/>
  <c r="I317" i="3"/>
  <c r="I321" i="3"/>
  <c r="I334" i="3"/>
  <c r="I347" i="3"/>
  <c r="I366" i="3"/>
  <c r="I383" i="3"/>
  <c r="H387" i="3"/>
  <c r="H395" i="3"/>
  <c r="H410" i="3"/>
  <c r="I410" i="3"/>
  <c r="H455" i="3"/>
  <c r="I455" i="3"/>
  <c r="I459" i="3"/>
  <c r="H459" i="3"/>
  <c r="H362" i="3"/>
  <c r="I362" i="3"/>
  <c r="I386" i="3"/>
  <c r="H388" i="3"/>
  <c r="H400" i="3"/>
  <c r="I412" i="3"/>
  <c r="H458" i="3"/>
  <c r="I458" i="3"/>
  <c r="I460" i="3"/>
  <c r="H466" i="3"/>
  <c r="I466" i="3"/>
  <c r="H468" i="3"/>
  <c r="I468" i="3"/>
  <c r="H378" i="3"/>
  <c r="I378" i="3"/>
  <c r="H450" i="3"/>
  <c r="I450" i="3"/>
  <c r="H486" i="3"/>
  <c r="I486" i="3"/>
  <c r="I426" i="3"/>
  <c r="H428" i="3"/>
  <c r="I439" i="3"/>
  <c r="H440" i="3"/>
  <c r="H443" i="3"/>
  <c r="H451" i="3"/>
  <c r="I452" i="3"/>
  <c r="I470" i="3"/>
  <c r="H482" i="3"/>
  <c r="I482" i="3"/>
  <c r="I487" i="3"/>
  <c r="H488" i="3"/>
  <c r="H498" i="3"/>
  <c r="I498" i="3"/>
  <c r="I442" i="3"/>
  <c r="H444" i="3"/>
  <c r="H456" i="3"/>
  <c r="I467" i="3"/>
  <c r="H467" i="3"/>
  <c r="I483" i="3"/>
  <c r="H483" i="3"/>
  <c r="I499" i="3"/>
  <c r="H499" i="3"/>
  <c r="I494" i="3"/>
  <c r="H496" i="3"/>
  <c r="F8" i="5" l="1"/>
  <c r="F6" i="5"/>
  <c r="F5" i="5"/>
  <c r="C9" i="5"/>
  <c r="A4" i="6" s="1"/>
  <c r="F7" i="5"/>
  <c r="B9" i="5"/>
  <c r="C41" i="5"/>
  <c r="E28" i="5"/>
  <c r="C39" i="5"/>
  <c r="E32" i="5"/>
  <c r="D40" i="5"/>
  <c r="D29" i="5"/>
  <c r="E36" i="5"/>
  <c r="E40" i="5"/>
  <c r="D33" i="5"/>
  <c r="D37" i="5"/>
  <c r="D41" i="5"/>
  <c r="B28" i="5"/>
  <c r="B32" i="5"/>
  <c r="B36" i="5"/>
  <c r="B40" i="5"/>
  <c r="D27" i="5"/>
  <c r="D31" i="5"/>
  <c r="D35" i="5"/>
  <c r="D39" i="5"/>
  <c r="B26" i="5"/>
  <c r="B30" i="5"/>
  <c r="B34" i="5"/>
  <c r="B38" i="5"/>
  <c r="B42" i="5"/>
  <c r="C26" i="5"/>
  <c r="C34" i="5"/>
  <c r="C42" i="5"/>
  <c r="E33" i="5"/>
  <c r="E37" i="5"/>
  <c r="E41" i="5"/>
  <c r="C28" i="5"/>
  <c r="C32" i="5"/>
  <c r="C36" i="5"/>
  <c r="C40" i="5"/>
  <c r="E27" i="5"/>
  <c r="E31" i="5"/>
  <c r="E35" i="5"/>
  <c r="E39" i="5"/>
  <c r="C30" i="5"/>
  <c r="C38" i="5"/>
  <c r="E29" i="5"/>
  <c r="B27" i="5"/>
  <c r="B31" i="5"/>
  <c r="B35" i="5"/>
  <c r="B39" i="5"/>
  <c r="D26" i="5"/>
  <c r="D30" i="5"/>
  <c r="D34" i="5"/>
  <c r="D38" i="5"/>
  <c r="D42" i="5"/>
  <c r="B29" i="5"/>
  <c r="B33" i="5"/>
  <c r="B37" i="5"/>
  <c r="B41" i="5"/>
  <c r="D28" i="5"/>
  <c r="D32" i="5"/>
  <c r="D36" i="5"/>
  <c r="B22" i="4"/>
  <c r="C27" i="5"/>
  <c r="C31" i="5"/>
  <c r="C35" i="5"/>
  <c r="E26" i="5"/>
  <c r="E30" i="5"/>
  <c r="E34" i="5"/>
  <c r="E38" i="5"/>
  <c r="E42" i="5"/>
  <c r="C29" i="5"/>
  <c r="C33" i="5"/>
  <c r="C37" i="5"/>
  <c r="F9" i="5" l="1"/>
  <c r="F33" i="5"/>
  <c r="F37" i="5"/>
  <c r="F35" i="5"/>
  <c r="F36" i="5"/>
  <c r="F26" i="5"/>
  <c r="F31" i="5"/>
  <c r="F32" i="5"/>
  <c r="F29" i="5"/>
  <c r="F27" i="5"/>
  <c r="F38" i="5"/>
  <c r="F28" i="5"/>
  <c r="F42" i="5"/>
  <c r="F41" i="5"/>
  <c r="F30" i="5"/>
  <c r="F40" i="5"/>
  <c r="F34" i="5"/>
  <c r="F39" i="5"/>
</calcChain>
</file>

<file path=xl/sharedStrings.xml><?xml version="1.0" encoding="utf-8"?>
<sst xmlns="http://schemas.openxmlformats.org/spreadsheetml/2006/main" count="2659" uniqueCount="151">
  <si>
    <t>駐車場利用実績 集計・分析ツール</t>
  </si>
  <si>
    <t>目的</t>
  </si>
  <si>
    <t>想定業務</t>
  </si>
  <si>
    <t>社内向けExcelツールの作成・改修、データ整理、定型集計、業務改善、分析結果の共有を想定。</t>
  </si>
  <si>
    <t>データ</t>
  </si>
  <si>
    <t>架空データ。4拠点・約500日分。実在企業・実在施設のデータではありません。</t>
  </si>
  <si>
    <t>使い方①</t>
  </si>
  <si>
    <t>「実績データ」シートに日々のデータが蓄積されている想定。</t>
  </si>
  <si>
    <t>使い方②</t>
  </si>
  <si>
    <t>「クレンジング」で駐車場名の表記ゆれをSUBSTITUTEで統一。</t>
  </si>
  <si>
    <t>使い方③</t>
  </si>
  <si>
    <t>「統計分析」で平均・中央値・標準偏差・相関・回帰・予測を確認。</t>
  </si>
  <si>
    <t>使い方④</t>
  </si>
  <si>
    <t>「ピボット集計」で駐車場別・月別・曜日別の集計を確認。</t>
  </si>
  <si>
    <t>使い方⑤</t>
  </si>
  <si>
    <t>使い方⑥</t>
  </si>
  <si>
    <t>「予測シミュレーション」で想定利用台数を変更し、予測売上を比較。</t>
  </si>
  <si>
    <t>主なExcel機能</t>
  </si>
  <si>
    <t>設計上のポイント</t>
  </si>
  <si>
    <t>日付</t>
  </si>
  <si>
    <t>曜日</t>
  </si>
  <si>
    <t>駐車場名（原文）</t>
  </si>
  <si>
    <t>駐車場名（クレンジング前）</t>
  </si>
  <si>
    <t>時間帯</t>
  </si>
  <si>
    <t>利用台数</t>
  </si>
  <si>
    <t>売上（円）</t>
  </si>
  <si>
    <t>稼働率</t>
  </si>
  <si>
    <t>平均利用時間（分）</t>
  </si>
  <si>
    <t>天候</t>
  </si>
  <si>
    <t>Tue</t>
  </si>
  <si>
    <t>A駐車場 (新宿駅前)</t>
  </si>
  <si>
    <t>20-24時</t>
  </si>
  <si>
    <t>晴</t>
  </si>
  <si>
    <t>Wed</t>
  </si>
  <si>
    <t>Thu</t>
  </si>
  <si>
    <t>B駐車場 (渋谷南)</t>
  </si>
  <si>
    <t>Fri</t>
  </si>
  <si>
    <t>C駐車場（池袋西口）</t>
  </si>
  <si>
    <t>16-20時</t>
  </si>
  <si>
    <t>雨</t>
  </si>
  <si>
    <t>Sat</t>
  </si>
  <si>
    <t>Sun</t>
  </si>
  <si>
    <t>12-16時</t>
  </si>
  <si>
    <t>曇</t>
  </si>
  <si>
    <t>Mon</t>
  </si>
  <si>
    <t>A駐車場（新宿駅前）</t>
  </si>
  <si>
    <t xml:space="preserve"> A駐車場（新宿駅前）</t>
  </si>
  <si>
    <t xml:space="preserve"> C駐車場（池袋西口）</t>
  </si>
  <si>
    <t>D駐車場 (横浜元町)</t>
  </si>
  <si>
    <t>8-12時</t>
  </si>
  <si>
    <t>C駐車場 (池袋西口)</t>
  </si>
  <si>
    <t>B駐車場（渋谷南）</t>
  </si>
  <si>
    <t xml:space="preserve">B駐車場（渋谷南） </t>
  </si>
  <si>
    <t xml:space="preserve">D駐車場（横浜元町） </t>
  </si>
  <si>
    <t>D駐車場（横浜元町）</t>
  </si>
  <si>
    <t>月</t>
  </si>
  <si>
    <t>統計・相関・回帰分析</t>
  </si>
  <si>
    <t>指標</t>
  </si>
  <si>
    <t>計算結果</t>
  </si>
  <si>
    <t>使用関数</t>
  </si>
  <si>
    <t>実務上の意味</t>
  </si>
  <si>
    <t>データ件数</t>
  </si>
  <si>
    <t>COUNT</t>
  </si>
  <si>
    <t>分析対象となる日次データ件数</t>
  </si>
  <si>
    <t>平均利用台数</t>
  </si>
  <si>
    <t>AVERAGE</t>
  </si>
  <si>
    <t>1日あたりの平均利用台数</t>
  </si>
  <si>
    <t>MEDIAN</t>
  </si>
  <si>
    <t>外れ値の影響を受けにくい中心値</t>
  </si>
  <si>
    <t>最大利用台数</t>
  </si>
  <si>
    <t>MAX</t>
  </si>
  <si>
    <t>ピーク時の利用規模</t>
  </si>
  <si>
    <t>最小利用台数</t>
  </si>
  <si>
    <t>MIN</t>
  </si>
  <si>
    <t>低稼働日の利用規模</t>
  </si>
  <si>
    <t>利用台数の標準偏差</t>
  </si>
  <si>
    <t>STDEVP（STDEV.P相当）</t>
  </si>
  <si>
    <t>日ごとの利用台数のばらつき</t>
  </si>
  <si>
    <t>1日あたりの平均売上</t>
  </si>
  <si>
    <t>売上標準偏差</t>
  </si>
  <si>
    <t>日ごとの売上のばらつき</t>
  </si>
  <si>
    <t>相関・回帰モデル</t>
  </si>
  <si>
    <t>解釈</t>
  </si>
  <si>
    <t>相関係数（利用台数×売上）</t>
  </si>
  <si>
    <t>CORREL</t>
  </si>
  <si>
    <t>1に近いほど強い正の相関</t>
  </si>
  <si>
    <t>回帰直線 傾き</t>
  </si>
  <si>
    <t>SLOPE</t>
  </si>
  <si>
    <t>利用台数1台増加時の売上増加傾向</t>
  </si>
  <si>
    <t>回帰直線 切片</t>
  </si>
  <si>
    <t>INTERCEPT</t>
  </si>
  <si>
    <t>回帰直線上の切片。実測の固定費・ベース売上を意味するとは限らない</t>
  </si>
  <si>
    <t>利用台数160台時の予測売上</t>
  </si>
  <si>
    <t>160台を仮定した場合の回帰モデル上の予測売上</t>
  </si>
  <si>
    <t>ピボット集計</t>
  </si>
  <si>
    <t>駐車場名</t>
  </si>
  <si>
    <t>総利用台数</t>
  </si>
  <si>
    <t>総売上（円）</t>
  </si>
  <si>
    <t>平均稼働率</t>
  </si>
  <si>
    <t>売上構成比</t>
  </si>
  <si>
    <t>総計</t>
  </si>
  <si>
    <t>月別 集計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</si>
  <si>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</si>
  <si>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</si>
  <si>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</si>
  <si>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</si>
  <si>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</si>
  <si>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</si>
  <si>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</si>
  <si>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</si>
  <si>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</si>
  <si>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</si>
  <si>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</si>
  <si>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</si>
  <si>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</si>
  <si>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</si>
  <si>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</si>
  <si>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</si>
  <si>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</si>
  <si>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駐車場利用実績 ダッシュボード</t>
  </si>
  <si>
    <t>総売上</t>
  </si>
  <si>
    <t>相関係数</t>
  </si>
  <si>
    <t>160台時予測売上</t>
  </si>
  <si>
    <t>分析メモ</t>
  </si>
  <si>
    <t>利用台数と売上の相関係数・回帰式を確認し、駐車場別・月別の売上構成を比較することで、集計結果を業務上の判断材料として利用できる構成。</t>
  </si>
  <si>
    <t>予測シミュレーション</t>
  </si>
  <si>
    <t>想定利用台数</t>
  </si>
  <si>
    <t>予測売上</t>
  </si>
  <si>
    <t>使い方</t>
  </si>
  <si>
    <t>B3の数値を120～200などに変更すると、回帰モデルに基づく予測売上が自動更新されます。</t>
  </si>
  <si>
    <t>「入力→整理→集計→分析→可視化→判断」の流れを意識。</t>
    <phoneticPr fontId="8"/>
  </si>
  <si>
    <t>Excelでのデータ整理・集計・分析・可視化を想定</t>
    <phoneticPr fontId="8"/>
  </si>
  <si>
    <t>駐車場の利用実績を入力データとして、データクレンジング、基本統計、相関・回帰分析、予測、集計、グラフ化までを一連の業務フローとして設計。</t>
    <phoneticPr fontId="8"/>
  </si>
  <si>
    <t>STDEVP</t>
    <phoneticPr fontId="8"/>
  </si>
  <si>
    <t>FORECAST</t>
    <phoneticPr fontId="8"/>
  </si>
  <si>
    <t>駐車場名（クレンジング済）</t>
    <phoneticPr fontId="8"/>
  </si>
  <si>
    <t>利用台数中央値</t>
    <phoneticPr fontId="8"/>
  </si>
  <si>
    <t>利用台数平均</t>
    <phoneticPr fontId="8"/>
  </si>
  <si>
    <t>売上平均</t>
    <phoneticPr fontId="8"/>
  </si>
  <si>
    <t>駐車場別 集計</t>
    <phoneticPr fontId="8"/>
  </si>
  <si>
    <t>列ラベル</t>
  </si>
  <si>
    <t>日</t>
  </si>
  <si>
    <t>火</t>
  </si>
  <si>
    <t>水</t>
  </si>
  <si>
    <t>木</t>
  </si>
  <si>
    <t>金</t>
  </si>
  <si>
    <t>土</t>
  </si>
  <si>
    <t>「ダッシュボード」で主要KPIとグラフを一覧化。</t>
    <phoneticPr fontId="8"/>
  </si>
  <si>
    <t>回帰式</t>
    <phoneticPr fontId="8"/>
  </si>
  <si>
    <t>駐車場別×曜日別 平均稼働率ヒートマップ</t>
  </si>
  <si>
    <t>SUBSTITUTE / AVERAGE / MEDIAN / MAX / MIN / COUNT  /STDEVP / CORREL / SLOPE / INTERCEPT / FORECAST / テーブル  / ピボットテーブル / ピボットグラフN / ヒートマップ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</si>
</sst>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"/>
    <numFmt numFmtId="177" formatCode="#,##0&quot;円&quot;"/>
    <numFmt numFmtId="178" formatCode="0.0%"/>
    <numFmt numFmtId="179" formatCode="0.0"/>
    <numFmt numFmtId="180" formatCode="0.000"/>
    <numFmt numFmtId="181" formatCode="#,##0.0&quot;円&quot;"/>
  </numFmts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color rgb="FFFFFFFF"/>
      <name val="ＭＳ Ｐゴシック"/>
      <family val="3"/>
      <charset val="128"/>
    </font>
    <font>
      <sz val="12"/>
      <color rgb="FFFFFFFF"/>
      <name val="ＭＳ Ｐゴシック"/>
      <family val="3"/>
      <charset val="128"/>
    </font>
    <font>
      <b/>
      <sz val="11"/>
      <color rgb="FF40404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vertical="center"/>
    </xf>
    <xf numFmtId="1" fontId="0" fillId="0" borderId="1" xfId="0" applyNumberForma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1" xfId="0" applyBorder="1"/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81" fontId="0" fillId="0" borderId="1" xfId="0" applyNumberFormat="1" applyBorder="1" applyAlignment="1">
      <alignment vertical="center"/>
    </xf>
    <xf numFmtId="177" fontId="5" fillId="3" borderId="1" xfId="0" applyNumberFormat="1" applyFont="1" applyFill="1" applyBorder="1" applyAlignment="1">
      <alignment vertical="center"/>
    </xf>
    <xf numFmtId="178" fontId="5" fillId="3" borderId="1" xfId="0" applyNumberFormat="1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5" fillId="0" borderId="0" xfId="0" applyFont="1" applyFill="1" applyBorder="1" applyAlignment="1">
      <alignment vertical="center"/>
    </xf>
    <xf numFmtId="177" fontId="5" fillId="0" borderId="0" xfId="0" applyNumberFormat="1" applyFont="1" applyFill="1" applyBorder="1" applyAlignment="1">
      <alignment vertical="center"/>
    </xf>
    <xf numFmtId="178" fontId="5" fillId="0" borderId="0" xfId="0" applyNumberFormat="1" applyFont="1" applyFill="1" applyBorder="1" applyAlignment="1">
      <alignment vertical="center"/>
    </xf>
    <xf numFmtId="0" fontId="0" fillId="0" borderId="0" xfId="0" applyFill="1"/>
    <xf numFmtId="0" fontId="2" fillId="2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/>
    </xf>
    <xf numFmtId="179" fontId="7" fillId="5" borderId="1" xfId="0" applyNumberFormat="1" applyFont="1" applyFill="1" applyBorder="1" applyAlignment="1">
      <alignment horizontal="center"/>
    </xf>
    <xf numFmtId="0" fontId="0" fillId="0" borderId="2" xfId="0" applyBorder="1"/>
    <xf numFmtId="177" fontId="7" fillId="5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78" fontId="7" fillId="5" borderId="1" xfId="0" applyNumberFormat="1" applyFont="1" applyFill="1" applyBorder="1" applyAlignment="1">
      <alignment horizontal="center"/>
    </xf>
    <xf numFmtId="180" fontId="7" fillId="5" borderId="1" xfId="0" applyNumberFormat="1" applyFont="1" applyFill="1" applyBorder="1" applyAlignment="1">
      <alignment horizontal="center"/>
    </xf>
  </cellXfs>
  <cellStyles count="1">
    <cellStyle name="標準" xfId="0" builtinId="0"/>
  </cellStyles>
  <dxfs count="1">
    <dxf>
      <numFmt numFmtId="178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駐車場別 総売上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8076520170661486"/>
          <c:y val="0.18279563701781829"/>
          <c:w val="0.76562469226230445"/>
          <c:h val="0.577003953262567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集計!$C$4</c:f>
              <c:strCache>
                <c:ptCount val="1"/>
                <c:pt idx="0">
                  <c:v>総売上（円）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集計!$A$5:$A$8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集計!$C$5:$C$8</c:f>
              <c:numCache>
                <c:formatCode>#,##0"円"</c:formatCode>
                <c:ptCount val="4"/>
                <c:pt idx="0">
                  <c:v>25658261</c:v>
                </c:pt>
                <c:pt idx="1">
                  <c:v>28019519</c:v>
                </c:pt>
                <c:pt idx="2">
                  <c:v>18628589</c:v>
                </c:pt>
                <c:pt idx="3">
                  <c:v>19017593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0-40BE-A157-9D0B31C3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駐車場名</a:t>
                </a:r>
              </a:p>
            </c:rich>
          </c:tx>
          <c:layout>
            <c:manualLayout>
              <c:xMode val="edge"/>
              <c:yMode val="edge"/>
              <c:x val="0.49983527389472793"/>
              <c:y val="0.8924731546954010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売上（円）</a:t>
                </a:r>
              </a:p>
            </c:rich>
          </c:tx>
          <c:layout>
            <c:manualLayout>
              <c:xMode val="edge"/>
              <c:yMode val="edge"/>
              <c:x val="1.3705335291238374E-2"/>
              <c:y val="0.42856881599565966"/>
            </c:manualLayout>
          </c:layout>
          <c:overlay val="1"/>
        </c:title>
        <c:numFmt formatCode="#,##0&quot;円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月別売上推移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5514861111111109"/>
          <c:y val="0.2200888096535103"/>
          <c:w val="0.54870954948292516"/>
          <c:h val="0.51907261592300968"/>
        </c:manualLayout>
      </c:layout>
      <c:lineChart>
        <c:grouping val="standard"/>
        <c:varyColors val="1"/>
        <c:ser>
          <c:idx val="0"/>
          <c:order val="0"/>
          <c:tx>
            <c:strRef>
              <c:f>集計!$C$25</c:f>
              <c:strCache>
                <c:ptCount val="1"/>
                <c:pt idx="0">
                  <c:v>総売上（円）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集計!$A$26:$A$42</c:f>
              <c:strCache>
                <c:ptCount val="17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  <c:pt idx="13">
                  <c:v>2026-05</c:v>
                </c:pt>
                <c:pt idx="14">
                  <c:v>2026-06</c:v>
                </c:pt>
                <c:pt idx="15">
                  <c:v>2026-07</c:v>
                </c:pt>
                <c:pt idx="16">
                  <c:v>2026-08</c:v>
                </c:pt>
              </c:strCache>
            </c:strRef>
          </c:cat>
          <c:val>
            <c:numRef>
              <c:f>集計!$C$26:$C$42</c:f>
              <c:numCache>
                <c:formatCode>#,##0"円"</c:formatCode>
                <c:ptCount val="17"/>
                <c:pt idx="0">
                  <c:v>6220861</c:v>
                </c:pt>
                <c:pt idx="1">
                  <c:v>6300767</c:v>
                </c:pt>
                <c:pt idx="2">
                  <c:v>5258015</c:v>
                </c:pt>
                <c:pt idx="3">
                  <c:v>5245098</c:v>
                </c:pt>
                <c:pt idx="4">
                  <c:v>5041050</c:v>
                </c:pt>
                <c:pt idx="5">
                  <c:v>4851450</c:v>
                </c:pt>
                <c:pt idx="6">
                  <c:v>4755396</c:v>
                </c:pt>
                <c:pt idx="7">
                  <c:v>4878825</c:v>
                </c:pt>
                <c:pt idx="8">
                  <c:v>5259467</c:v>
                </c:pt>
                <c:pt idx="9">
                  <c:v>5666186</c:v>
                </c:pt>
                <c:pt idx="10">
                  <c:v>5487008</c:v>
                </c:pt>
                <c:pt idx="11">
                  <c:v>5943582</c:v>
                </c:pt>
                <c:pt idx="12">
                  <c:v>6342799</c:v>
                </c:pt>
                <c:pt idx="13">
                  <c:v>6660793</c:v>
                </c:pt>
                <c:pt idx="14">
                  <c:v>5774273</c:v>
                </c:pt>
                <c:pt idx="15">
                  <c:v>5409858</c:v>
                </c:pt>
                <c:pt idx="16">
                  <c:v>2228534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5B-4F26-BCB0-2589B2BF7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月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売上（円）</a:t>
                </a:r>
              </a:p>
            </c:rich>
          </c:tx>
          <c:layout>
            <c:manualLayout>
              <c:xMode val="edge"/>
              <c:yMode val="edge"/>
              <c:x val="3.7797619047619045E-2"/>
              <c:y val="0.35701284722222221"/>
            </c:manualLayout>
          </c:layout>
          <c:overlay val="1"/>
        </c:title>
        <c:numFmt formatCode="#,##0&quot;円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[駐車場利用実績_集計分析ツール.xlsx]集計!ピボットテーブル2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1701305098500487E-2"/>
          <c:y val="0.13319385856713528"/>
          <c:w val="0.69777597476363795"/>
          <c:h val="0.67773219481944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集計!$B$48:$B$49</c:f>
              <c:strCache>
                <c:ptCount val="1"/>
                <c:pt idx="0">
                  <c:v>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集計!$B$50:$B$54</c:f>
              <c:numCache>
                <c:formatCode>0.0%</c:formatCode>
                <c:ptCount val="4"/>
                <c:pt idx="0">
                  <c:v>0.67828518419172601</c:v>
                </c:pt>
                <c:pt idx="1">
                  <c:v>0.64573749627863775</c:v>
                </c:pt>
                <c:pt idx="2">
                  <c:v>0.48155981334135206</c:v>
                </c:pt>
                <c:pt idx="3">
                  <c:v>0.47487511381843273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5-4C6E-9466-DF93A2A6BA7C}"/>
            </c:ext>
          </c:extLst>
        </c:ser>
        <c:ser>
          <c:idx val="1"/>
          <c:order val="1"/>
          <c:tx>
            <c:strRef>
              <c:f>集計!$C$48:$C$49</c:f>
              <c:strCache>
                <c:ptCount val="1"/>
                <c:pt idx="0">
                  <c:v>火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集計!$C$50:$C$54</c:f>
              <c:numCache>
                <c:formatCode>0.0%</c:formatCode>
                <c:ptCount val="4"/>
                <c:pt idx="0">
                  <c:v>0.68271027946055207</c:v>
                </c:pt>
                <c:pt idx="1">
                  <c:v>0.71034845337217523</c:v>
                </c:pt>
                <c:pt idx="2">
                  <c:v>0.42474822977169346</c:v>
                </c:pt>
                <c:pt idx="3">
                  <c:v>0.46420754743020454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5-4C6E-9466-DF93A2A6BA7C}"/>
            </c:ext>
          </c:extLst>
        </c:ser>
        <c:ser>
          <c:idx val="2"/>
          <c:order val="2"/>
          <c:tx>
            <c:strRef>
              <c:f>集計!$D$48:$D$49</c:f>
              <c:strCache>
                <c:ptCount val="1"/>
                <c:pt idx="0">
                  <c:v>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集計!$D$50:$D$54</c:f>
              <c:numCache>
                <c:formatCode>0.0%</c:formatCode>
                <c:ptCount val="4"/>
                <c:pt idx="0">
                  <c:v>0.691072003041311</c:v>
                </c:pt>
                <c:pt idx="1">
                  <c:v>0.6594979470184763</c:v>
                </c:pt>
                <c:pt idx="2">
                  <c:v>0.48620118397742929</c:v>
                </c:pt>
                <c:pt idx="3">
                  <c:v>0.48679166231675791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5-4C6E-9466-DF93A2A6BA7C}"/>
            </c:ext>
          </c:extLst>
        </c:ser>
        <c:ser>
          <c:idx val="3"/>
          <c:order val="3"/>
          <c:tx>
            <c:strRef>
              <c:f>集計!$E$48:$E$49</c:f>
              <c:strCache>
                <c:ptCount val="1"/>
                <c:pt idx="0">
                  <c:v>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集計!$E$50:$E$54</c:f>
              <c:numCache>
                <c:formatCode>0.0%</c:formatCode>
                <c:ptCount val="4"/>
                <c:pt idx="0">
                  <c:v>0.7138626269631605</c:v>
                </c:pt>
                <c:pt idx="1">
                  <c:v>0.6625263327873343</c:v>
                </c:pt>
                <c:pt idx="2">
                  <c:v>0.48206548112000175</c:v>
                </c:pt>
                <c:pt idx="3">
                  <c:v>0.46398443273483214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5-4C6E-9466-DF93A2A6BA7C}"/>
            </c:ext>
          </c:extLst>
        </c:ser>
        <c:ser>
          <c:idx val="4"/>
          <c:order val="4"/>
          <c:tx>
            <c:strRef>
              <c:f>集計!$F$48:$F$49</c:f>
              <c:strCache>
                <c:ptCount val="1"/>
                <c:pt idx="0">
                  <c:v>金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集計!$F$50:$F$54</c:f>
              <c:numCache>
                <c:formatCode>0.0%</c:formatCode>
                <c:ptCount val="4"/>
                <c:pt idx="0">
                  <c:v>0.66045648529608558</c:v>
                </c:pt>
                <c:pt idx="1">
                  <c:v>0.67233705540235233</c:v>
                </c:pt>
                <c:pt idx="2">
                  <c:v>0.48149224373890637</c:v>
                </c:pt>
                <c:pt idx="3">
                  <c:v>0.46797791197255822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75-4C6E-9466-DF93A2A6BA7C}"/>
            </c:ext>
          </c:extLst>
        </c:ser>
        <c:ser>
          <c:idx val="5"/>
          <c:order val="5"/>
          <c:tx>
            <c:strRef>
              <c:f>集計!$G$48:$G$49</c:f>
              <c:strCache>
                <c:ptCount val="1"/>
                <c:pt idx="0">
                  <c:v>土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集計!$G$50:$G$54</c:f>
              <c:numCache>
                <c:formatCode>0.0%</c:formatCode>
                <c:ptCount val="4"/>
                <c:pt idx="0">
                  <c:v>0.67242532220688078</c:v>
                </c:pt>
                <c:pt idx="1">
                  <c:v>0.71201921766161569</c:v>
                </c:pt>
                <c:pt idx="2">
                  <c:v>0.50642292258037769</c:v>
                </c:pt>
                <c:pt idx="3">
                  <c:v>0.50818799440871232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75-4C6E-9466-DF93A2A6BA7C}"/>
            </c:ext>
          </c:extLst>
        </c:ser>
        <c:ser>
          <c:idx val="6"/>
          <c:order val="6"/>
          <c:tx>
            <c:strRef>
              <c:f>集計!$H$48:$H$49</c:f>
              <c:strCache>
                <c:ptCount val="1"/>
                <c:pt idx="0">
                  <c:v>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集計!$A$50:$A$54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集計!$H$50:$H$54</c:f>
              <c:numCache>
                <c:formatCode>0.0%</c:formatCode>
                <c:ptCount val="4"/>
                <c:pt idx="0">
                  <c:v>0.72615293372579559</c:v>
                </c:pt>
                <c:pt idx="1">
                  <c:v>0.71318922268879992</c:v>
                </c:pt>
                <c:pt idx="2">
                  <c:v>0.51703234056315928</c:v>
                </c:pt>
                <c:pt idx="3">
                  <c:v>0.49286949611228559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75-4C6E-9466-DF93A2A6B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709024"/>
        <c:axId val="446455568"/>
      </c:barChart>
      <c:catAx>
        <c:axId val="3987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6455568"/>
        <c:crosses val="autoZero"/>
        <c:auto val="1"/>
        <c:lblAlgn val="ctr"/>
        <c:lblOffset val="100"/>
        <c:noMultiLvlLbl val="0"/>
      </c:catAx>
      <c:valAx>
        <c:axId val="4464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870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06004762744786"/>
          <c:y val="0.18268513912267192"/>
          <c:w val="0.20077441684193359"/>
          <c:h val="0.60433791510211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駐車場別 売上比較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8076520170661486"/>
          <c:y val="0.18279563701781829"/>
          <c:w val="0.76562469226230445"/>
          <c:h val="0.577003953262567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集計!$C$4</c:f>
              <c:strCache>
                <c:ptCount val="1"/>
                <c:pt idx="0">
                  <c:v>総売上（円）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集計!$A$5:$A$8</c:f>
              <c:strCache>
                <c:ptCount val="4"/>
                <c:pt idx="0">
                  <c:v>A駐車場（新宿駅前）</c:v>
                </c:pt>
                <c:pt idx="1">
                  <c:v>B駐車場（渋谷南）</c:v>
                </c:pt>
                <c:pt idx="2">
                  <c:v>C駐車場（池袋西口）</c:v>
                </c:pt>
                <c:pt idx="3">
                  <c:v>D駐車場（横浜元町）</c:v>
                </c:pt>
              </c:strCache>
            </c:strRef>
          </c:cat>
          <c:val>
            <c:numRef>
              <c:f>集計!$C$5:$C$8</c:f>
              <c:numCache>
                <c:formatCode>#,##0"円"</c:formatCode>
                <c:ptCount val="4"/>
                <c:pt idx="0">
                  <c:v>25658261</c:v>
                </c:pt>
                <c:pt idx="1">
                  <c:v>28019519</c:v>
                </c:pt>
                <c:pt idx="2">
                  <c:v>18628589</c:v>
                </c:pt>
                <c:pt idx="3">
                  <c:v>19017593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0-437E-A6D9-8D9A8370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駐車場名</a:t>
                </a:r>
              </a:p>
            </c:rich>
          </c:tx>
          <c:layout>
            <c:manualLayout>
              <c:xMode val="edge"/>
              <c:yMode val="edge"/>
              <c:x val="0.49983527389472793"/>
              <c:y val="0.8924731546954010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売上（円）</a:t>
                </a:r>
              </a:p>
            </c:rich>
          </c:tx>
          <c:layout>
            <c:manualLayout>
              <c:xMode val="edge"/>
              <c:yMode val="edge"/>
              <c:x val="1.3705335291238374E-2"/>
              <c:y val="0.42856881599565966"/>
            </c:manualLayout>
          </c:layout>
          <c:overlay val="1"/>
        </c:title>
        <c:numFmt formatCode="#,##0&quot;円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月別売上推移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5514861111111109"/>
          <c:y val="0.2200888096535103"/>
          <c:w val="0.54870954948292516"/>
          <c:h val="0.51907261592300968"/>
        </c:manualLayout>
      </c:layout>
      <c:lineChart>
        <c:grouping val="standard"/>
        <c:varyColors val="1"/>
        <c:ser>
          <c:idx val="0"/>
          <c:order val="0"/>
          <c:tx>
            <c:strRef>
              <c:f>集計!$C$25</c:f>
              <c:strCache>
                <c:ptCount val="1"/>
                <c:pt idx="0">
                  <c:v>総売上（円）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集計!$A$26:$A$42</c:f>
              <c:strCache>
                <c:ptCount val="17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  <c:pt idx="13">
                  <c:v>2026-05</c:v>
                </c:pt>
                <c:pt idx="14">
                  <c:v>2026-06</c:v>
                </c:pt>
                <c:pt idx="15">
                  <c:v>2026-07</c:v>
                </c:pt>
                <c:pt idx="16">
                  <c:v>2026-08</c:v>
                </c:pt>
              </c:strCache>
            </c:strRef>
          </c:cat>
          <c:val>
            <c:numRef>
              <c:f>集計!$C$26:$C$42</c:f>
              <c:numCache>
                <c:formatCode>#,##0"円"</c:formatCode>
                <c:ptCount val="17"/>
                <c:pt idx="0">
                  <c:v>6220861</c:v>
                </c:pt>
                <c:pt idx="1">
                  <c:v>6300767</c:v>
                </c:pt>
                <c:pt idx="2">
                  <c:v>5258015</c:v>
                </c:pt>
                <c:pt idx="3">
                  <c:v>5245098</c:v>
                </c:pt>
                <c:pt idx="4">
                  <c:v>5041050</c:v>
                </c:pt>
                <c:pt idx="5">
                  <c:v>4851450</c:v>
                </c:pt>
                <c:pt idx="6">
                  <c:v>4755396</c:v>
                </c:pt>
                <c:pt idx="7">
                  <c:v>4878825</c:v>
                </c:pt>
                <c:pt idx="8">
                  <c:v>5259467</c:v>
                </c:pt>
                <c:pt idx="9">
                  <c:v>5666186</c:v>
                </c:pt>
                <c:pt idx="10">
                  <c:v>5487008</c:v>
                </c:pt>
                <c:pt idx="11">
                  <c:v>5943582</c:v>
                </c:pt>
                <c:pt idx="12">
                  <c:v>6342799</c:v>
                </c:pt>
                <c:pt idx="13">
                  <c:v>6660793</c:v>
                </c:pt>
                <c:pt idx="14">
                  <c:v>5774273</c:v>
                </c:pt>
                <c:pt idx="15">
                  <c:v>5409858</c:v>
                </c:pt>
                <c:pt idx="16">
                  <c:v>2228534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BA-4CC3-90A7-446FBD359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月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売上（円）</a:t>
                </a:r>
              </a:p>
            </c:rich>
          </c:tx>
          <c:layout>
            <c:manualLayout>
              <c:xMode val="edge"/>
              <c:yMode val="edge"/>
              <c:x val="3.7797619047619045E-2"/>
              <c:y val="0.35701284722222221"/>
            </c:manualLayout>
          </c:layout>
          <c:overlay val="1"/>
        </c:title>
        <c:numFmt formatCode="#,##0&quot;円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利用台数別 予測売上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7136369047619047"/>
          <c:y val="0.14331597222222223"/>
          <c:w val="0.56683730158730161"/>
          <c:h val="0.62274097222222224"/>
        </c:manualLayout>
      </c:layout>
      <c:scatterChart>
        <c:scatterStyle val="lineMarker"/>
        <c:varyColors val="1"/>
        <c:ser>
          <c:idx val="0"/>
          <c:order val="0"/>
          <c:tx>
            <c:strRef>
              <c:f>予測シミュレーション!$B$10</c:f>
              <c:strCache>
                <c:ptCount val="1"/>
                <c:pt idx="0">
                  <c:v>予測売上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</c:spPr>
          </c:marker>
          <c:trendline>
            <c:spPr>
              <a:ln>
                <a:solidFill>
                  <a:srgbClr val="FFC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予測シミュレーション!$A$11:$A$15</c:f>
              <c:numCache>
                <c:formatCode>General</c:formatCode>
                <c:ptCount val="5"/>
                <c:pt idx="0">
                  <c:v>120</c:v>
                </c:pt>
                <c:pt idx="1">
                  <c:v>140</c:v>
                </c:pt>
                <c:pt idx="2">
                  <c:v>160</c:v>
                </c:pt>
                <c:pt idx="3">
                  <c:v>180</c:v>
                </c:pt>
                <c:pt idx="4">
                  <c:v>200</c:v>
                </c:pt>
              </c:numCache>
            </c:numRef>
          </c:xVal>
          <c:yVal>
            <c:numRef>
              <c:f>予測シミュレーション!$B$11:$B$15</c:f>
              <c:numCache>
                <c:formatCode>#,##0"円"</c:formatCode>
                <c:ptCount val="5"/>
                <c:pt idx="0">
                  <c:v>143127.75886933788</c:v>
                </c:pt>
                <c:pt idx="1">
                  <c:v>168518.16370754034</c:v>
                </c:pt>
                <c:pt idx="2">
                  <c:v>193908.56854574278</c:v>
                </c:pt>
                <c:pt idx="3">
                  <c:v>219298.97338394524</c:v>
                </c:pt>
                <c:pt idx="4">
                  <c:v>244689.3782221477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5-4134-A79C-0DBFBBCD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想定利用台数（台）</a:t>
                </a:r>
              </a:p>
            </c:rich>
          </c:tx>
          <c:layout>
            <c:manualLayout>
              <c:xMode val="edge"/>
              <c:yMode val="edge"/>
              <c:x val="0.40454940476190482"/>
              <c:y val="0.89416666666666667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crossBetween val="midCat"/>
      </c:val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予測売上（円）</a:t>
                </a:r>
              </a:p>
            </c:rich>
          </c:tx>
          <c:layout>
            <c:manualLayout>
              <c:xMode val="edge"/>
              <c:yMode val="edge"/>
              <c:x val="6.5515873015873013E-2"/>
              <c:y val="0.3350065972222222"/>
            </c:manualLayout>
          </c:layout>
          <c:overlay val="1"/>
        </c:title>
        <c:numFmt formatCode="#,##0&quot;円&quot;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2</xdr:row>
      <xdr:rowOff>171449</xdr:rowOff>
    </xdr:from>
    <xdr:ext cx="6143625" cy="28956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254934</xdr:colOff>
      <xdr:row>23</xdr:row>
      <xdr:rowOff>90767</xdr:rowOff>
    </xdr:from>
    <xdr:ext cx="6706960" cy="302895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E7AFF326-B388-48F2-9654-62A9D800E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9</xdr:col>
      <xdr:colOff>196101</xdr:colOff>
      <xdr:row>46</xdr:row>
      <xdr:rowOff>11206</xdr:rowOff>
    </xdr:from>
    <xdr:to>
      <xdr:col>17</xdr:col>
      <xdr:colOff>515469</xdr:colOff>
      <xdr:row>63</xdr:row>
      <xdr:rowOff>88526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09DCEBB-E2F4-468E-84B3-11EE292F0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7</xdr:row>
      <xdr:rowOff>123825</xdr:rowOff>
    </xdr:from>
    <xdr:ext cx="6143625" cy="2895601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BB4FA76-0BED-4A08-9D17-FCE907A90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598715</xdr:colOff>
      <xdr:row>7</xdr:row>
      <xdr:rowOff>95250</xdr:rowOff>
    </xdr:from>
    <xdr:ext cx="6706960" cy="302895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8EE47F7-E180-41C5-BC54-2A535CD70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360828</xdr:colOff>
      <xdr:row>16</xdr:row>
      <xdr:rowOff>112060</xdr:rowOff>
    </xdr:from>
    <xdr:ext cx="5610225" cy="3124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7.410763078704" createdVersion="6" refreshedVersion="6" minRefreshableVersion="3" recordCount="500" xr:uid="{22FF5039-717A-48A8-A890-C2C5101ADE7E}">
  <cacheSource type="worksheet">
    <worksheetSource ref="A1:I501" sheet="クレンジング"/>
  </cacheSource>
  <cacheFields count="9">
    <cacheField name="日付" numFmtId="176">
      <sharedItems containsSemiMixedTypes="0" containsNonDate="0" containsDate="1" containsString="0" minDate="2025-04-01T00:00:00" maxDate="2026-08-14T00:00:00"/>
    </cacheField>
    <cacheField name="駐車場名（原文）" numFmtId="0">
      <sharedItems/>
    </cacheField>
    <cacheField name="駐車場名（クレンジング済）" numFmtId="0">
      <sharedItems count="4">
        <s v="A駐車場（新宿駅前）"/>
        <s v="B駐車場（渋谷南）"/>
        <s v="C駐車場（池袋西口）"/>
        <s v="D駐車場（横浜元町）"/>
      </sharedItems>
    </cacheField>
    <cacheField name="利用台数" numFmtId="0">
      <sharedItems containsSemiMixedTypes="0" containsString="0" containsNumber="1" containsInteger="1" minValue="60" maxValue="255"/>
    </cacheField>
    <cacheField name="売上（円）" numFmtId="177">
      <sharedItems containsSemiMixedTypes="0" containsString="0" containsNumber="1" containsInteger="1" minValue="63978" maxValue="313240"/>
    </cacheField>
    <cacheField name="稼働率" numFmtId="178">
      <sharedItems containsSemiMixedTypes="0" containsString="0" containsNumber="1" minValue="0.32" maxValue="0.98"/>
    </cacheField>
    <cacheField name="平均利用時間（分）" numFmtId="0">
      <sharedItems containsSemiMixedTypes="0" containsString="0" containsNumber="1" containsInteger="1" minValue="42" maxValue="96"/>
    </cacheField>
    <cacheField name="月" numFmtId="0">
      <sharedItems/>
    </cacheField>
    <cacheField name="曜日" numFmtId="0">
      <sharedItems count="7">
        <s v="火"/>
        <s v="水"/>
        <s v="木"/>
        <s v="金"/>
        <s v="土"/>
        <s v="日"/>
        <s v="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5-04-01T00:00:00"/>
    <s v="A駐車場 (新宿駅前)"/>
    <x v="0"/>
    <n v="210"/>
    <n v="257706"/>
    <n v="0.81726827292185111"/>
    <n v="84"/>
    <s v="2025-04"/>
    <x v="0"/>
  </r>
  <r>
    <d v="2025-04-02T00:00:00"/>
    <s v="A駐車場 (新宿駅前)"/>
    <x v="0"/>
    <n v="208"/>
    <n v="255328"/>
    <n v="0.79188724987066927"/>
    <n v="71"/>
    <s v="2025-04"/>
    <x v="1"/>
  </r>
  <r>
    <d v="2025-04-03T00:00:00"/>
    <s v="B駐車場 (渋谷南)"/>
    <x v="1"/>
    <n v="176"/>
    <n v="221279"/>
    <n v="0.71714088361652606"/>
    <n v="68"/>
    <s v="2025-04"/>
    <x v="2"/>
  </r>
  <r>
    <d v="2025-04-04T00:00:00"/>
    <s v="C駐車場（池袋西口）"/>
    <x v="2"/>
    <n v="137"/>
    <n v="171258"/>
    <n v="0.52829944871258472"/>
    <n v="64"/>
    <s v="2025-04"/>
    <x v="3"/>
  </r>
  <r>
    <d v="2025-04-05T00:00:00"/>
    <s v="C駐車場（池袋西口）"/>
    <x v="2"/>
    <n v="125"/>
    <n v="135544"/>
    <n v="0.47525878261727422"/>
    <n v="58"/>
    <s v="2025-04"/>
    <x v="4"/>
  </r>
  <r>
    <d v="2025-04-06T00:00:00"/>
    <s v="C駐車場（池袋西口）"/>
    <x v="2"/>
    <n v="126"/>
    <n v="141186"/>
    <n v="0.50875188056610388"/>
    <n v="69"/>
    <s v="2025-04"/>
    <x v="5"/>
  </r>
  <r>
    <d v="2025-04-07T00:00:00"/>
    <s v="A駐車場（新宿駅前）"/>
    <x v="0"/>
    <n v="181"/>
    <n v="229841"/>
    <n v="0.70666926302802424"/>
    <n v="67"/>
    <s v="2025-04"/>
    <x v="6"/>
  </r>
  <r>
    <d v="2025-04-08T00:00:00"/>
    <s v=" A駐車場（新宿駅前）"/>
    <x v="0"/>
    <n v="187"/>
    <n v="223484"/>
    <n v="0.71649664311216366"/>
    <n v="67"/>
    <s v="2025-04"/>
    <x v="0"/>
  </r>
  <r>
    <d v="2025-04-09T00:00:00"/>
    <s v=" C駐車場（池袋西口）"/>
    <x v="2"/>
    <n v="157"/>
    <n v="169505"/>
    <n v="0.60501975007370801"/>
    <n v="70"/>
    <s v="2025-04"/>
    <x v="1"/>
  </r>
  <r>
    <d v="2025-04-10T00:00:00"/>
    <s v=" A駐車場（新宿駅前）"/>
    <x v="0"/>
    <n v="206"/>
    <n v="279176"/>
    <n v="0.81400656417975203"/>
    <n v="67"/>
    <s v="2025-04"/>
    <x v="2"/>
  </r>
  <r>
    <d v="2025-04-11T00:00:00"/>
    <s v="B駐車場 (渋谷南)"/>
    <x v="1"/>
    <n v="188"/>
    <n v="242111"/>
    <n v="0.69775571840412387"/>
    <n v="75"/>
    <s v="2025-04"/>
    <x v="3"/>
  </r>
  <r>
    <d v="2025-04-12T00:00:00"/>
    <s v="C駐車場（池袋西口）"/>
    <x v="2"/>
    <n v="162"/>
    <n v="233601"/>
    <n v="0.60782322807819134"/>
    <n v="67"/>
    <s v="2025-04"/>
    <x v="4"/>
  </r>
  <r>
    <d v="2025-04-13T00:00:00"/>
    <s v="B駐車場 (渋谷南)"/>
    <x v="1"/>
    <n v="210"/>
    <n v="248268"/>
    <n v="0.83931079369436856"/>
    <n v="81"/>
    <s v="2025-04"/>
    <x v="5"/>
  </r>
  <r>
    <d v="2025-04-14T00:00:00"/>
    <s v="A駐車場（新宿駅前）"/>
    <x v="0"/>
    <n v="191"/>
    <n v="227659"/>
    <n v="0.77833506641878591"/>
    <n v="63"/>
    <s v="2025-04"/>
    <x v="6"/>
  </r>
  <r>
    <d v="2025-04-15T00:00:00"/>
    <s v="D駐車場 (横浜元町)"/>
    <x v="3"/>
    <n v="134"/>
    <n v="157590"/>
    <n v="0.5056464621476654"/>
    <n v="57"/>
    <s v="2025-04"/>
    <x v="0"/>
  </r>
  <r>
    <d v="2025-04-16T00:00:00"/>
    <s v="C駐車場 (池袋西口)"/>
    <x v="2"/>
    <n v="151"/>
    <n v="167709"/>
    <n v="0.59145614131077062"/>
    <n v="75"/>
    <s v="2025-04"/>
    <x v="1"/>
  </r>
  <r>
    <d v="2025-04-17T00:00:00"/>
    <s v="C駐車場（池袋西口）"/>
    <x v="2"/>
    <n v="130"/>
    <n v="155118"/>
    <n v="0.43371959363126877"/>
    <n v="85"/>
    <s v="2025-04"/>
    <x v="2"/>
  </r>
  <r>
    <d v="2025-04-18T00:00:00"/>
    <s v="B駐車場 (渋谷南)"/>
    <x v="1"/>
    <n v="220"/>
    <n v="252629"/>
    <n v="0.88082553494715499"/>
    <n v="82"/>
    <s v="2025-04"/>
    <x v="3"/>
  </r>
  <r>
    <d v="2025-04-19T00:00:00"/>
    <s v="B駐車場（渋谷南）"/>
    <x v="1"/>
    <n v="181"/>
    <n v="199918"/>
    <n v="0.71794625240179566"/>
    <n v="86"/>
    <s v="2025-04"/>
    <x v="4"/>
  </r>
  <r>
    <d v="2025-04-20T00:00:00"/>
    <s v="C駐車場（池袋西口）"/>
    <x v="2"/>
    <n v="128"/>
    <n v="162938"/>
    <n v="0.43977142340257391"/>
    <n v="80"/>
    <s v="2025-04"/>
    <x v="5"/>
  </r>
  <r>
    <d v="2025-04-21T00:00:00"/>
    <s v="B駐車場（渋谷南）"/>
    <x v="1"/>
    <n v="192"/>
    <n v="239048"/>
    <n v="0.69447460879298784"/>
    <n v="74"/>
    <s v="2025-04"/>
    <x v="6"/>
  </r>
  <r>
    <d v="2025-04-22T00:00:00"/>
    <s v="B駐車場 (渋谷南)"/>
    <x v="1"/>
    <n v="193"/>
    <n v="240565"/>
    <n v="0.72194866446640715"/>
    <n v="86"/>
    <s v="2025-04"/>
    <x v="0"/>
  </r>
  <r>
    <d v="2025-04-23T00:00:00"/>
    <s v="B駐車場（渋谷南） "/>
    <x v="1"/>
    <n v="161"/>
    <n v="194945"/>
    <n v="0.6531294783149667"/>
    <n v="70"/>
    <s v="2025-04"/>
    <x v="1"/>
  </r>
  <r>
    <d v="2025-04-24T00:00:00"/>
    <s v="B駐車場 (渋谷南)"/>
    <x v="1"/>
    <n v="210"/>
    <n v="270232"/>
    <n v="0.78574256724186331"/>
    <n v="84"/>
    <s v="2025-04"/>
    <x v="2"/>
  </r>
  <r>
    <d v="2025-04-25T00:00:00"/>
    <s v="A駐車場 (新宿駅前)"/>
    <x v="0"/>
    <n v="180"/>
    <n v="225875"/>
    <n v="0.70939095683442555"/>
    <n v="67"/>
    <s v="2025-04"/>
    <x v="3"/>
  </r>
  <r>
    <d v="2025-04-26T00:00:00"/>
    <s v="B駐車場 (渋谷南)"/>
    <x v="1"/>
    <n v="190"/>
    <n v="240170"/>
    <n v="0.73086568203607649"/>
    <n v="96"/>
    <s v="2025-04"/>
    <x v="4"/>
  </r>
  <r>
    <d v="2025-04-27T00:00:00"/>
    <s v="A駐車場（新宿駅前）"/>
    <x v="0"/>
    <n v="196"/>
    <n v="226894"/>
    <n v="0.76926707736274291"/>
    <n v="72"/>
    <s v="2025-04"/>
    <x v="5"/>
  </r>
  <r>
    <d v="2025-04-28T00:00:00"/>
    <s v="D駐車場（横浜元町） "/>
    <x v="3"/>
    <n v="97"/>
    <n v="116294"/>
    <n v="0.39024843725939368"/>
    <n v="67"/>
    <s v="2025-04"/>
    <x v="6"/>
  </r>
  <r>
    <d v="2025-04-29T00:00:00"/>
    <s v="D駐車場（横浜元町）"/>
    <x v="3"/>
    <n v="126"/>
    <n v="165500"/>
    <n v="0.47713591356006591"/>
    <n v="56"/>
    <s v="2025-04"/>
    <x v="0"/>
  </r>
  <r>
    <d v="2025-04-30T00:00:00"/>
    <s v="C駐車場（池袋西口）"/>
    <x v="2"/>
    <n v="139"/>
    <n v="169490"/>
    <n v="0.5335044368914581"/>
    <n v="65"/>
    <s v="2025-04"/>
    <x v="1"/>
  </r>
  <r>
    <d v="2025-05-01T00:00:00"/>
    <s v="D駐車場（横浜元町）"/>
    <x v="3"/>
    <n v="97"/>
    <n v="113069"/>
    <n v="0.42201280627319759"/>
    <n v="87"/>
    <s v="2025-05"/>
    <x v="2"/>
  </r>
  <r>
    <d v="2025-05-02T00:00:00"/>
    <s v="A駐車場 (新宿駅前)"/>
    <x v="0"/>
    <n v="187"/>
    <n v="220304"/>
    <n v="0.77290521599131079"/>
    <n v="83"/>
    <s v="2025-05"/>
    <x v="3"/>
  </r>
  <r>
    <d v="2025-05-03T00:00:00"/>
    <s v="A駐車場 (新宿駅前)"/>
    <x v="0"/>
    <n v="187"/>
    <n v="235860"/>
    <n v="0.63830093051917114"/>
    <n v="69"/>
    <s v="2025-05"/>
    <x v="4"/>
  </r>
  <r>
    <d v="2025-05-04T00:00:00"/>
    <s v="B駐車場（渋谷南）"/>
    <x v="1"/>
    <n v="201"/>
    <n v="255565"/>
    <n v="0.74945844016474228"/>
    <n v="70"/>
    <s v="2025-05"/>
    <x v="5"/>
  </r>
  <r>
    <d v="2025-05-05T00:00:00"/>
    <s v="A駐車場（新宿駅前）"/>
    <x v="0"/>
    <n v="203"/>
    <n v="251351"/>
    <n v="0.77300323161488516"/>
    <n v="90"/>
    <s v="2025-05"/>
    <x v="6"/>
  </r>
  <r>
    <d v="2025-05-06T00:00:00"/>
    <s v="C駐車場 (池袋西口)"/>
    <x v="2"/>
    <n v="156"/>
    <n v="204658"/>
    <n v="0.58614571117182368"/>
    <n v="57"/>
    <s v="2025-05"/>
    <x v="0"/>
  </r>
  <r>
    <d v="2025-05-07T00:00:00"/>
    <s v=" A駐車場（新宿駅前）"/>
    <x v="0"/>
    <n v="201"/>
    <n v="242807"/>
    <n v="0.78553970526964323"/>
    <n v="74"/>
    <s v="2025-05"/>
    <x v="1"/>
  </r>
  <r>
    <d v="2025-05-08T00:00:00"/>
    <s v="B駐車場（渋谷南） "/>
    <x v="1"/>
    <n v="183"/>
    <n v="218989"/>
    <n v="0.68562590833052905"/>
    <n v="73"/>
    <s v="2025-05"/>
    <x v="2"/>
  </r>
  <r>
    <d v="2025-05-09T00:00:00"/>
    <s v="A駐車場 (新宿駅前)"/>
    <x v="0"/>
    <n v="169"/>
    <n v="189320"/>
    <n v="0.68032908935168057"/>
    <n v="73"/>
    <s v="2025-05"/>
    <x v="3"/>
  </r>
  <r>
    <d v="2025-05-10T00:00:00"/>
    <s v="B駐車場 (渋谷南)"/>
    <x v="1"/>
    <n v="199"/>
    <n v="231582"/>
    <n v="0.76100049129768255"/>
    <n v="78"/>
    <s v="2025-05"/>
    <x v="4"/>
  </r>
  <r>
    <d v="2025-05-11T00:00:00"/>
    <s v=" A駐車場（新宿駅前）"/>
    <x v="0"/>
    <n v="218"/>
    <n v="252287"/>
    <n v="0.84938016284571893"/>
    <n v="75"/>
    <s v="2025-05"/>
    <x v="5"/>
  </r>
  <r>
    <d v="2025-05-12T00:00:00"/>
    <s v="C駐車場 (池袋西口)"/>
    <x v="2"/>
    <n v="139"/>
    <n v="174217"/>
    <n v="0.5832623905394021"/>
    <n v="76"/>
    <s v="2025-05"/>
    <x v="6"/>
  </r>
  <r>
    <d v="2025-05-13T00:00:00"/>
    <s v="B駐車場（渋谷南）"/>
    <x v="1"/>
    <n v="217"/>
    <n v="244413"/>
    <n v="0.86154725884816041"/>
    <n v="62"/>
    <s v="2025-05"/>
    <x v="0"/>
  </r>
  <r>
    <d v="2025-05-14T00:00:00"/>
    <s v="D駐車場（横浜元町） "/>
    <x v="3"/>
    <n v="142"/>
    <n v="143446"/>
    <n v="0.55642523026496782"/>
    <n v="64"/>
    <s v="2025-05"/>
    <x v="1"/>
  </r>
  <r>
    <d v="2025-05-15T00:00:00"/>
    <s v="D駐車場（横浜元町）"/>
    <x v="3"/>
    <n v="136"/>
    <n v="180890"/>
    <n v="0.49413331261296362"/>
    <n v="71"/>
    <s v="2025-05"/>
    <x v="2"/>
  </r>
  <r>
    <d v="2025-05-16T00:00:00"/>
    <s v="B駐車場 (渋谷南)"/>
    <x v="1"/>
    <n v="172"/>
    <n v="219055"/>
    <n v="0.71619494955595098"/>
    <n v="83"/>
    <s v="2025-05"/>
    <x v="3"/>
  </r>
  <r>
    <d v="2025-05-17T00:00:00"/>
    <s v="C駐車場（池袋西口）"/>
    <x v="2"/>
    <n v="154"/>
    <n v="181046"/>
    <n v="0.61388202375129985"/>
    <n v="67"/>
    <s v="2025-05"/>
    <x v="4"/>
  </r>
  <r>
    <d v="2025-05-18T00:00:00"/>
    <s v="D駐車場（横浜元町） "/>
    <x v="3"/>
    <n v="122"/>
    <n v="160128"/>
    <n v="0.37634251966806148"/>
    <n v="78"/>
    <s v="2025-05"/>
    <x v="5"/>
  </r>
  <r>
    <d v="2025-05-19T00:00:00"/>
    <s v=" C駐車場（池袋西口）"/>
    <x v="2"/>
    <n v="153"/>
    <n v="185605"/>
    <n v="0.52552113738608974"/>
    <n v="66"/>
    <s v="2025-05"/>
    <x v="6"/>
  </r>
  <r>
    <d v="2025-05-20T00:00:00"/>
    <s v="A駐車場 (新宿駅前)"/>
    <x v="0"/>
    <n v="227"/>
    <n v="268408"/>
    <n v="0.83613477161550498"/>
    <n v="63"/>
    <s v="2025-05"/>
    <x v="0"/>
  </r>
  <r>
    <d v="2025-05-21T00:00:00"/>
    <s v=" C駐車場（池袋西口）"/>
    <x v="2"/>
    <n v="126"/>
    <n v="140697"/>
    <n v="0.47012308824893778"/>
    <n v="58"/>
    <s v="2025-05"/>
    <x v="1"/>
  </r>
  <r>
    <d v="2025-05-22T00:00:00"/>
    <s v="B駐車場（渋谷南）"/>
    <x v="1"/>
    <n v="171"/>
    <n v="205300"/>
    <n v="0.65673983416444193"/>
    <n v="77"/>
    <s v="2025-05"/>
    <x v="2"/>
  </r>
  <r>
    <d v="2025-05-23T00:00:00"/>
    <s v="C駐車場 (池袋西口)"/>
    <x v="2"/>
    <n v="115"/>
    <n v="139679"/>
    <n v="0.45126709453191982"/>
    <n v="76"/>
    <s v="2025-05"/>
    <x v="3"/>
  </r>
  <r>
    <d v="2025-05-24T00:00:00"/>
    <s v="C駐車場 (池袋西口)"/>
    <x v="2"/>
    <n v="119"/>
    <n v="139963"/>
    <n v="0.42471592168515387"/>
    <n v="80"/>
    <s v="2025-05"/>
    <x v="4"/>
  </r>
  <r>
    <d v="2025-05-25T00:00:00"/>
    <s v="B駐車場（渋谷南） "/>
    <x v="1"/>
    <n v="200"/>
    <n v="241647"/>
    <n v="0.86562433379893233"/>
    <n v="84"/>
    <s v="2025-05"/>
    <x v="5"/>
  </r>
  <r>
    <d v="2025-05-26T00:00:00"/>
    <s v="B駐車場（渋谷南）"/>
    <x v="1"/>
    <n v="178"/>
    <n v="209140"/>
    <n v="0.66863979895836334"/>
    <n v="80"/>
    <s v="2025-05"/>
    <x v="6"/>
  </r>
  <r>
    <d v="2025-05-27T00:00:00"/>
    <s v="B駐車場（渋谷南）"/>
    <x v="1"/>
    <n v="202"/>
    <n v="277474"/>
    <n v="0.76575922514582506"/>
    <n v="77"/>
    <s v="2025-05"/>
    <x v="0"/>
  </r>
  <r>
    <d v="2025-05-28T00:00:00"/>
    <s v="B駐車場 (渋谷南)"/>
    <x v="1"/>
    <n v="189"/>
    <n v="217471"/>
    <n v="0.7738742010666636"/>
    <n v="77"/>
    <s v="2025-05"/>
    <x v="1"/>
  </r>
  <r>
    <d v="2025-05-29T00:00:00"/>
    <s v="D駐車場 (横浜元町)"/>
    <x v="3"/>
    <n v="151"/>
    <n v="164752"/>
    <n v="0.5540002704399789"/>
    <n v="70"/>
    <s v="2025-05"/>
    <x v="2"/>
  </r>
  <r>
    <d v="2025-05-30T00:00:00"/>
    <s v="D駐車場（横浜元町） "/>
    <x v="3"/>
    <n v="117"/>
    <n v="130016"/>
    <n v="0.47537647773959352"/>
    <n v="73"/>
    <s v="2025-05"/>
    <x v="3"/>
  </r>
  <r>
    <d v="2025-05-31T00:00:00"/>
    <s v=" A駐車場（新宿駅前）"/>
    <x v="0"/>
    <n v="209"/>
    <n v="261628"/>
    <n v="0.78494449108253173"/>
    <n v="60"/>
    <s v="2025-05"/>
    <x v="4"/>
  </r>
  <r>
    <d v="2025-06-01T00:00:00"/>
    <s v="C駐車場 (池袋西口)"/>
    <x v="2"/>
    <n v="125"/>
    <n v="145458"/>
    <n v="0.49055852671367223"/>
    <n v="76"/>
    <s v="2025-06"/>
    <x v="5"/>
  </r>
  <r>
    <d v="2025-06-02T00:00:00"/>
    <s v="D駐車場 (横浜元町)"/>
    <x v="3"/>
    <n v="143"/>
    <n v="167723"/>
    <n v="0.55149758616291567"/>
    <n v="54"/>
    <s v="2025-06"/>
    <x v="6"/>
  </r>
  <r>
    <d v="2025-06-03T00:00:00"/>
    <s v="D駐車場 (横浜元町)"/>
    <x v="3"/>
    <n v="130"/>
    <n v="164703"/>
    <n v="0.53115565421351185"/>
    <n v="71"/>
    <s v="2025-06"/>
    <x v="0"/>
  </r>
  <r>
    <d v="2025-06-04T00:00:00"/>
    <s v="D駐車場（横浜元町）"/>
    <x v="3"/>
    <n v="170"/>
    <n v="182568"/>
    <n v="0.57932156540108237"/>
    <n v="66"/>
    <s v="2025-06"/>
    <x v="1"/>
  </r>
  <r>
    <d v="2025-06-05T00:00:00"/>
    <s v="B駐車場（渋谷南） "/>
    <x v="1"/>
    <n v="186"/>
    <n v="224997"/>
    <n v="0.71339694437319168"/>
    <n v="85"/>
    <s v="2025-06"/>
    <x v="2"/>
  </r>
  <r>
    <d v="2025-06-06T00:00:00"/>
    <s v="D駐車場（横浜元町）"/>
    <x v="3"/>
    <n v="118"/>
    <n v="167088"/>
    <n v="0.39532015891128391"/>
    <n v="77"/>
    <s v="2025-06"/>
    <x v="3"/>
  </r>
  <r>
    <d v="2025-06-07T00:00:00"/>
    <s v="C駐車場（池袋西口）"/>
    <x v="2"/>
    <n v="142"/>
    <n v="173445"/>
    <n v="0.55582823656550195"/>
    <n v="67"/>
    <s v="2025-06"/>
    <x v="4"/>
  </r>
  <r>
    <d v="2025-06-08T00:00:00"/>
    <s v=" A駐車場（新宿駅前）"/>
    <x v="0"/>
    <n v="188"/>
    <n v="223241"/>
    <n v="0.70606271890735217"/>
    <n v="72"/>
    <s v="2025-06"/>
    <x v="5"/>
  </r>
  <r>
    <d v="2025-06-09T00:00:00"/>
    <s v=" C駐車場（池袋西口）"/>
    <x v="2"/>
    <n v="142"/>
    <n v="183245"/>
    <n v="0.54592885245924916"/>
    <n v="64"/>
    <s v="2025-06"/>
    <x v="6"/>
  </r>
  <r>
    <d v="2025-06-10T00:00:00"/>
    <s v="A駐車場（新宿駅前）"/>
    <x v="0"/>
    <n v="203"/>
    <n v="240869"/>
    <n v="0.8092077118852683"/>
    <n v="67"/>
    <s v="2025-06"/>
    <x v="0"/>
  </r>
  <r>
    <d v="2025-06-11T00:00:00"/>
    <s v=" A駐車場（新宿駅前）"/>
    <x v="0"/>
    <n v="177"/>
    <n v="206327"/>
    <n v="0.65534403697486809"/>
    <n v="58"/>
    <s v="2025-06"/>
    <x v="1"/>
  </r>
  <r>
    <d v="2025-06-12T00:00:00"/>
    <s v="C駐車場（池袋西口）"/>
    <x v="2"/>
    <n v="153"/>
    <n v="189345"/>
    <n v="0.62488147681371842"/>
    <n v="68"/>
    <s v="2025-06"/>
    <x v="2"/>
  </r>
  <r>
    <d v="2025-06-13T00:00:00"/>
    <s v="C駐車場 (池袋西口)"/>
    <x v="2"/>
    <n v="107"/>
    <n v="110366"/>
    <n v="0.40161869666388023"/>
    <n v="59"/>
    <s v="2025-06"/>
    <x v="3"/>
  </r>
  <r>
    <d v="2025-06-14T00:00:00"/>
    <s v="D駐車場（横浜元町） "/>
    <x v="3"/>
    <n v="107"/>
    <n v="132848"/>
    <n v="0.40365228991481111"/>
    <n v="85"/>
    <s v="2025-06"/>
    <x v="4"/>
  </r>
  <r>
    <d v="2025-06-15T00:00:00"/>
    <s v="B駐車場（渋谷南） "/>
    <x v="1"/>
    <n v="189"/>
    <n v="218772"/>
    <n v="0.71133797968952861"/>
    <n v="71"/>
    <s v="2025-06"/>
    <x v="5"/>
  </r>
  <r>
    <d v="2025-06-16T00:00:00"/>
    <s v="D駐車場 (横浜元町)"/>
    <x v="3"/>
    <n v="131"/>
    <n v="174122"/>
    <n v="0.465073170305773"/>
    <n v="83"/>
    <s v="2025-06"/>
    <x v="6"/>
  </r>
  <r>
    <d v="2025-06-17T00:00:00"/>
    <s v="B駐車場 (渋谷南)"/>
    <x v="1"/>
    <n v="199"/>
    <n v="256571"/>
    <n v="0.70656379650822498"/>
    <n v="78"/>
    <s v="2025-06"/>
    <x v="0"/>
  </r>
  <r>
    <d v="2025-06-18T00:00:00"/>
    <s v="D駐車場 (横浜元町)"/>
    <x v="3"/>
    <n v="125"/>
    <n v="141138"/>
    <n v="0.4903018048648386"/>
    <n v="82"/>
    <s v="2025-06"/>
    <x v="1"/>
  </r>
  <r>
    <d v="2025-06-19T00:00:00"/>
    <s v="D駐車場 (横浜元町)"/>
    <x v="3"/>
    <n v="107"/>
    <n v="121558"/>
    <n v="0.45578303861876363"/>
    <n v="69"/>
    <s v="2025-06"/>
    <x v="2"/>
  </r>
  <r>
    <d v="2025-06-20T00:00:00"/>
    <s v="C駐車場（池袋西口）"/>
    <x v="2"/>
    <n v="123"/>
    <n v="154513"/>
    <n v="0.46760775988203462"/>
    <n v="61"/>
    <s v="2025-06"/>
    <x v="3"/>
  </r>
  <r>
    <d v="2025-06-21T00:00:00"/>
    <s v="D駐車場（横浜元町）"/>
    <x v="3"/>
    <n v="128"/>
    <n v="165553"/>
    <n v="0.49533123344185392"/>
    <n v="59"/>
    <s v="2025-06"/>
    <x v="4"/>
  </r>
  <r>
    <d v="2025-06-22T00:00:00"/>
    <s v="B駐車場（渋谷南）"/>
    <x v="1"/>
    <n v="177"/>
    <n v="227288"/>
    <n v="0.67602146255898188"/>
    <n v="73"/>
    <s v="2025-06"/>
    <x v="5"/>
  </r>
  <r>
    <d v="2025-06-23T00:00:00"/>
    <s v="B駐車場（渋谷南） "/>
    <x v="1"/>
    <n v="153"/>
    <n v="174434"/>
    <n v="0.59285697086641254"/>
    <n v="78"/>
    <s v="2025-06"/>
    <x v="6"/>
  </r>
  <r>
    <d v="2025-06-24T00:00:00"/>
    <s v="D駐車場（横浜元町）"/>
    <x v="3"/>
    <n v="96"/>
    <n v="138536"/>
    <n v="0.36814663591087088"/>
    <n v="85"/>
    <s v="2025-06"/>
    <x v="0"/>
  </r>
  <r>
    <d v="2025-06-25T00:00:00"/>
    <s v="D駐車場（横浜元町）"/>
    <x v="3"/>
    <n v="144"/>
    <n v="176069"/>
    <n v="0.57262431063351715"/>
    <n v="71"/>
    <s v="2025-06"/>
    <x v="1"/>
  </r>
  <r>
    <d v="2025-06-26T00:00:00"/>
    <s v=" A駐車場（新宿駅前）"/>
    <x v="0"/>
    <n v="159"/>
    <n v="189537"/>
    <n v="0.57154993597962933"/>
    <n v="65"/>
    <s v="2025-06"/>
    <x v="2"/>
  </r>
  <r>
    <d v="2025-06-27T00:00:00"/>
    <s v="C駐車場（池袋西口）"/>
    <x v="2"/>
    <n v="161"/>
    <n v="163544"/>
    <n v="0.6026054816217935"/>
    <n v="78"/>
    <s v="2025-06"/>
    <x v="3"/>
  </r>
  <r>
    <d v="2025-06-28T00:00:00"/>
    <s v=" C駐車場（池袋西口）"/>
    <x v="2"/>
    <n v="130"/>
    <n v="148767"/>
    <n v="0.50636885404990317"/>
    <n v="70"/>
    <s v="2025-06"/>
    <x v="4"/>
  </r>
  <r>
    <d v="2025-06-29T00:00:00"/>
    <s v="D駐車場（横浜元町）"/>
    <x v="3"/>
    <n v="126"/>
    <n v="155836"/>
    <n v="0.47004483908569827"/>
    <n v="57"/>
    <s v="2025-06"/>
    <x v="5"/>
  </r>
  <r>
    <d v="2025-06-30T00:00:00"/>
    <s v="C駐車場（池袋西口）"/>
    <x v="2"/>
    <n v="131"/>
    <n v="139554"/>
    <n v="0.46067332037971359"/>
    <n v="52"/>
    <s v="2025-06"/>
    <x v="6"/>
  </r>
  <r>
    <d v="2025-07-01T00:00:00"/>
    <s v="B駐車場 (渋谷南)"/>
    <x v="1"/>
    <n v="198"/>
    <n v="233293"/>
    <n v="0.78053485503390163"/>
    <n v="80"/>
    <s v="2025-07"/>
    <x v="0"/>
  </r>
  <r>
    <d v="2025-07-02T00:00:00"/>
    <s v="D駐車場（横浜元町） "/>
    <x v="3"/>
    <n v="139"/>
    <n v="175540"/>
    <n v="0.50861943056536629"/>
    <n v="51"/>
    <s v="2025-07"/>
    <x v="1"/>
  </r>
  <r>
    <d v="2025-07-03T00:00:00"/>
    <s v="A駐車場 (新宿駅前)"/>
    <x v="0"/>
    <n v="196"/>
    <n v="226607"/>
    <n v="0.74747541507704351"/>
    <n v="70"/>
    <s v="2025-07"/>
    <x v="2"/>
  </r>
  <r>
    <d v="2025-07-04T00:00:00"/>
    <s v=" C駐車場（池袋西口）"/>
    <x v="2"/>
    <n v="97"/>
    <n v="106042"/>
    <n v="0.39225507982411262"/>
    <n v="76"/>
    <s v="2025-07"/>
    <x v="3"/>
  </r>
  <r>
    <d v="2025-07-05T00:00:00"/>
    <s v="D駐車場（横浜元町） "/>
    <x v="3"/>
    <n v="114"/>
    <n v="122920"/>
    <n v="0.46565527050817579"/>
    <n v="74"/>
    <s v="2025-07"/>
    <x v="4"/>
  </r>
  <r>
    <d v="2025-07-06T00:00:00"/>
    <s v="B駐車場（渋谷南） "/>
    <x v="1"/>
    <n v="168"/>
    <n v="224506"/>
    <n v="0.62609337540357213"/>
    <n v="96"/>
    <s v="2025-07"/>
    <x v="5"/>
  </r>
  <r>
    <d v="2025-07-07T00:00:00"/>
    <s v="C駐車場 (池袋西口)"/>
    <x v="2"/>
    <n v="123"/>
    <n v="152326"/>
    <n v="0.48296536972130932"/>
    <n v="52"/>
    <s v="2025-07"/>
    <x v="6"/>
  </r>
  <r>
    <d v="2025-07-08T00:00:00"/>
    <s v="D駐車場（横浜元町）"/>
    <x v="3"/>
    <n v="138"/>
    <n v="166305"/>
    <n v="0.50126410201421256"/>
    <n v="63"/>
    <s v="2025-07"/>
    <x v="0"/>
  </r>
  <r>
    <d v="2025-07-09T00:00:00"/>
    <s v="C駐車場（池袋西口）"/>
    <x v="2"/>
    <n v="83"/>
    <n v="90399"/>
    <n v="0.32"/>
    <n v="72"/>
    <s v="2025-07"/>
    <x v="1"/>
  </r>
  <r>
    <d v="2025-07-10T00:00:00"/>
    <s v="B駐車場（渋谷南） "/>
    <x v="1"/>
    <n v="165"/>
    <n v="206448"/>
    <n v="0.61370245393187828"/>
    <n v="81"/>
    <s v="2025-07"/>
    <x v="2"/>
  </r>
  <r>
    <d v="2025-07-11T00:00:00"/>
    <s v="B駐車場（渋谷南） "/>
    <x v="1"/>
    <n v="138"/>
    <n v="171314"/>
    <n v="0.50283835838796931"/>
    <n v="77"/>
    <s v="2025-07"/>
    <x v="3"/>
  </r>
  <r>
    <d v="2025-07-12T00:00:00"/>
    <s v="D駐車場（横浜元町）"/>
    <x v="3"/>
    <n v="110"/>
    <n v="124963"/>
    <n v="0.45985258954800529"/>
    <n v="65"/>
    <s v="2025-07"/>
    <x v="4"/>
  </r>
  <r>
    <d v="2025-07-13T00:00:00"/>
    <s v="D駐車場 (横浜元町)"/>
    <x v="3"/>
    <n v="109"/>
    <n v="145377"/>
    <n v="0.41896062107953602"/>
    <n v="70"/>
    <s v="2025-07"/>
    <x v="5"/>
  </r>
  <r>
    <d v="2025-07-14T00:00:00"/>
    <s v="B駐車場（渋谷南） "/>
    <x v="1"/>
    <n v="146"/>
    <n v="185591"/>
    <n v="0.53213778382804111"/>
    <n v="89"/>
    <s v="2025-07"/>
    <x v="6"/>
  </r>
  <r>
    <d v="2025-07-15T00:00:00"/>
    <s v="B駐車場（渋谷南）"/>
    <x v="1"/>
    <n v="178"/>
    <n v="219651"/>
    <n v="0.63351262850719325"/>
    <n v="88"/>
    <s v="2025-07"/>
    <x v="0"/>
  </r>
  <r>
    <d v="2025-07-16T00:00:00"/>
    <s v="D駐車場（横浜元町） "/>
    <x v="3"/>
    <n v="107"/>
    <n v="104132"/>
    <n v="0.37254935497299058"/>
    <n v="77"/>
    <s v="2025-07"/>
    <x v="1"/>
  </r>
  <r>
    <d v="2025-07-17T00:00:00"/>
    <s v="B駐車場（渋谷南）"/>
    <x v="1"/>
    <n v="140"/>
    <n v="173369"/>
    <n v="0.58714842715220406"/>
    <n v="66"/>
    <s v="2025-07"/>
    <x v="2"/>
  </r>
  <r>
    <d v="2025-07-18T00:00:00"/>
    <s v=" A駐車場（新宿駅前）"/>
    <x v="0"/>
    <n v="165"/>
    <n v="189157"/>
    <n v="0.62320030066891341"/>
    <n v="68"/>
    <s v="2025-07"/>
    <x v="3"/>
  </r>
  <r>
    <d v="2025-07-19T00:00:00"/>
    <s v="D駐車場（横浜元町） "/>
    <x v="3"/>
    <n v="104"/>
    <n v="102724"/>
    <n v="0.44156683803953378"/>
    <n v="57"/>
    <s v="2025-07"/>
    <x v="4"/>
  </r>
  <r>
    <d v="2025-07-20T00:00:00"/>
    <s v="A駐車場 (新宿駅前)"/>
    <x v="0"/>
    <n v="172"/>
    <n v="203933"/>
    <n v="0.64999656342724677"/>
    <n v="65"/>
    <s v="2025-07"/>
    <x v="5"/>
  </r>
  <r>
    <d v="2025-07-21T00:00:00"/>
    <s v="D駐車場 (横浜元町)"/>
    <x v="3"/>
    <n v="145"/>
    <n v="166897"/>
    <n v="0.5530902126100522"/>
    <n v="66"/>
    <s v="2025-07"/>
    <x v="6"/>
  </r>
  <r>
    <d v="2025-07-22T00:00:00"/>
    <s v="A駐車場（新宿駅前）"/>
    <x v="0"/>
    <n v="198"/>
    <n v="247658"/>
    <n v="0.75240836327027594"/>
    <n v="79"/>
    <s v="2025-07"/>
    <x v="0"/>
  </r>
  <r>
    <d v="2025-07-23T00:00:00"/>
    <s v="B駐車場（渋谷南） "/>
    <x v="1"/>
    <n v="166"/>
    <n v="210105"/>
    <n v="0.67196475868226568"/>
    <n v="69"/>
    <s v="2025-07"/>
    <x v="1"/>
  </r>
  <r>
    <d v="2025-07-24T00:00:00"/>
    <s v="B駐車場（渋谷南） "/>
    <x v="1"/>
    <n v="148"/>
    <n v="185740"/>
    <n v="0.56906982713750476"/>
    <n v="79"/>
    <s v="2025-07"/>
    <x v="2"/>
  </r>
  <r>
    <d v="2025-07-25T00:00:00"/>
    <s v="A駐車場 (新宿駅前)"/>
    <x v="0"/>
    <n v="151"/>
    <n v="188175"/>
    <n v="0.53818452768898928"/>
    <n v="66"/>
    <s v="2025-07"/>
    <x v="3"/>
  </r>
  <r>
    <d v="2025-07-26T00:00:00"/>
    <s v="D駐車場（横浜元町） "/>
    <x v="3"/>
    <n v="129"/>
    <n v="144322"/>
    <n v="0.46603911429344302"/>
    <n v="76"/>
    <s v="2025-07"/>
    <x v="4"/>
  </r>
  <r>
    <d v="2025-07-27T00:00:00"/>
    <s v="C駐車場（池袋西口）"/>
    <x v="2"/>
    <n v="143"/>
    <n v="169709"/>
    <n v="0.60079537197504107"/>
    <n v="66"/>
    <s v="2025-07"/>
    <x v="5"/>
  </r>
  <r>
    <d v="2025-07-28T00:00:00"/>
    <s v="D駐車場（横浜元町）"/>
    <x v="3"/>
    <n v="132"/>
    <n v="131954"/>
    <n v="0.51176840138822421"/>
    <n v="64"/>
    <s v="2025-07"/>
    <x v="6"/>
  </r>
  <r>
    <d v="2025-07-29T00:00:00"/>
    <s v="C駐車場 (池袋西口)"/>
    <x v="2"/>
    <n v="105"/>
    <n v="107718"/>
    <n v="0.36775424550162999"/>
    <n v="55"/>
    <s v="2025-07"/>
    <x v="0"/>
  </r>
  <r>
    <d v="2025-07-30T00:00:00"/>
    <s v=" C駐車場（池袋西口）"/>
    <x v="2"/>
    <n v="119"/>
    <n v="138575"/>
    <n v="0.44541809552748829"/>
    <n v="71"/>
    <s v="2025-07"/>
    <x v="1"/>
  </r>
  <r>
    <d v="2025-07-31T00:00:00"/>
    <s v="B駐車場（渋谷南）"/>
    <x v="1"/>
    <n v="169"/>
    <n v="229648"/>
    <n v="0.67383706232010021"/>
    <n v="72"/>
    <s v="2025-07"/>
    <x v="2"/>
  </r>
  <r>
    <d v="2025-08-01T00:00:00"/>
    <s v="D駐車場（横浜元町）"/>
    <x v="3"/>
    <n v="127"/>
    <n v="146547"/>
    <n v="0.53184668253607303"/>
    <n v="59"/>
    <s v="2025-08"/>
    <x v="3"/>
  </r>
  <r>
    <d v="2025-08-02T00:00:00"/>
    <s v="B駐車場（渋谷南）"/>
    <x v="1"/>
    <n v="190"/>
    <n v="220770"/>
    <n v="0.82157291386219378"/>
    <n v="75"/>
    <s v="2025-08"/>
    <x v="4"/>
  </r>
  <r>
    <d v="2025-08-03T00:00:00"/>
    <s v="A駐車場 (新宿駅前)"/>
    <x v="0"/>
    <n v="176"/>
    <n v="220858"/>
    <n v="0.6374638559821838"/>
    <n v="81"/>
    <s v="2025-08"/>
    <x v="5"/>
  </r>
  <r>
    <d v="2025-08-04T00:00:00"/>
    <s v="C駐車場 (池袋西口)"/>
    <x v="2"/>
    <n v="127"/>
    <n v="156642"/>
    <n v="0.56024691657083214"/>
    <n v="70"/>
    <s v="2025-08"/>
    <x v="6"/>
  </r>
  <r>
    <d v="2025-08-05T00:00:00"/>
    <s v="A駐車場（新宿駅前）"/>
    <x v="0"/>
    <n v="149"/>
    <n v="171700"/>
    <n v="0.55774763819606565"/>
    <n v="60"/>
    <s v="2025-08"/>
    <x v="0"/>
  </r>
  <r>
    <d v="2025-08-06T00:00:00"/>
    <s v=" A駐車場（新宿駅前）"/>
    <x v="0"/>
    <n v="155"/>
    <n v="202271"/>
    <n v="0.65606377813815397"/>
    <n v="81"/>
    <s v="2025-08"/>
    <x v="1"/>
  </r>
  <r>
    <d v="2025-08-07T00:00:00"/>
    <s v=" C駐車場（池袋西口）"/>
    <x v="2"/>
    <n v="101"/>
    <n v="102823"/>
    <n v="0.42286121596393911"/>
    <n v="65"/>
    <s v="2025-08"/>
    <x v="2"/>
  </r>
  <r>
    <d v="2025-08-08T00:00:00"/>
    <s v="D駐車場（横浜元町） "/>
    <x v="3"/>
    <n v="79"/>
    <n v="73571"/>
    <n v="0.32"/>
    <n v="82"/>
    <s v="2025-08"/>
    <x v="3"/>
  </r>
  <r>
    <d v="2025-08-09T00:00:00"/>
    <s v="B駐車場（渋谷南）"/>
    <x v="1"/>
    <n v="175"/>
    <n v="212671"/>
    <n v="0.65581813594494576"/>
    <n v="68"/>
    <s v="2025-08"/>
    <x v="4"/>
  </r>
  <r>
    <d v="2025-08-10T00:00:00"/>
    <s v="C駐車場 (池袋西口)"/>
    <x v="2"/>
    <n v="128"/>
    <n v="158012"/>
    <n v="0.51457745268318655"/>
    <n v="60"/>
    <s v="2025-08"/>
    <x v="5"/>
  </r>
  <r>
    <d v="2025-08-11T00:00:00"/>
    <s v="A駐車場 (新宿駅前)"/>
    <x v="0"/>
    <n v="164"/>
    <n v="191352"/>
    <n v="0.66249759170423783"/>
    <n v="79"/>
    <s v="2025-08"/>
    <x v="6"/>
  </r>
  <r>
    <d v="2025-08-12T00:00:00"/>
    <s v="B駐車場（渋谷南） "/>
    <x v="1"/>
    <n v="161"/>
    <n v="191576"/>
    <n v="0.62864207222909763"/>
    <n v="64"/>
    <s v="2025-08"/>
    <x v="0"/>
  </r>
  <r>
    <d v="2025-08-13T00:00:00"/>
    <s v="B駐車場（渋谷南）"/>
    <x v="1"/>
    <n v="125"/>
    <n v="149630"/>
    <n v="0.53490441861426208"/>
    <n v="88"/>
    <s v="2025-08"/>
    <x v="1"/>
  </r>
  <r>
    <d v="2025-08-14T00:00:00"/>
    <s v="B駐車場 (渋谷南)"/>
    <x v="1"/>
    <n v="153"/>
    <n v="188586"/>
    <n v="0.58670470678511932"/>
    <n v="82"/>
    <s v="2025-08"/>
    <x v="2"/>
  </r>
  <r>
    <d v="2025-08-15T00:00:00"/>
    <s v="A駐車場 (新宿駅前)"/>
    <x v="0"/>
    <n v="129"/>
    <n v="160475"/>
    <n v="0.47939221199499288"/>
    <n v="71"/>
    <s v="2025-08"/>
    <x v="3"/>
  </r>
  <r>
    <d v="2025-08-16T00:00:00"/>
    <s v=" C駐車場（池袋西口）"/>
    <x v="2"/>
    <n v="78"/>
    <n v="100883"/>
    <n v="0.33708318711523722"/>
    <n v="71"/>
    <s v="2025-08"/>
    <x v="4"/>
  </r>
  <r>
    <d v="2025-08-17T00:00:00"/>
    <s v="D駐車場（横浜元町）"/>
    <x v="3"/>
    <n v="113"/>
    <n v="119577"/>
    <n v="0.45949982966277753"/>
    <n v="65"/>
    <s v="2025-08"/>
    <x v="5"/>
  </r>
  <r>
    <d v="2025-08-18T00:00:00"/>
    <s v=" C駐車場（池袋西口）"/>
    <x v="2"/>
    <n v="97"/>
    <n v="104219"/>
    <n v="0.36500293527649991"/>
    <n v="60"/>
    <s v="2025-08"/>
    <x v="6"/>
  </r>
  <r>
    <d v="2025-08-19T00:00:00"/>
    <s v=" A駐車場（新宿駅前）"/>
    <x v="0"/>
    <n v="161"/>
    <n v="190720"/>
    <n v="0.57879356441489749"/>
    <n v="58"/>
    <s v="2025-08"/>
    <x v="0"/>
  </r>
  <r>
    <d v="2025-08-20T00:00:00"/>
    <s v="B駐車場（渋谷南） "/>
    <x v="1"/>
    <n v="125"/>
    <n v="166594"/>
    <n v="0.43524012279026281"/>
    <n v="85"/>
    <s v="2025-08"/>
    <x v="1"/>
  </r>
  <r>
    <d v="2025-08-21T00:00:00"/>
    <s v="C駐車場（池袋西口）"/>
    <x v="2"/>
    <n v="106"/>
    <n v="131045"/>
    <n v="0.41924248856464719"/>
    <n v="66"/>
    <s v="2025-08"/>
    <x v="2"/>
  </r>
  <r>
    <d v="2025-08-22T00:00:00"/>
    <s v="A駐車場 (新宿駅前)"/>
    <x v="0"/>
    <n v="158"/>
    <n v="181178"/>
    <n v="0.61611282248805777"/>
    <n v="74"/>
    <s v="2025-08"/>
    <x v="3"/>
  </r>
  <r>
    <d v="2025-08-23T00:00:00"/>
    <s v="D駐車場（横浜元町） "/>
    <x v="3"/>
    <n v="101"/>
    <n v="132294"/>
    <n v="0.38858735737296862"/>
    <n v="53"/>
    <s v="2025-08"/>
    <x v="4"/>
  </r>
  <r>
    <d v="2025-08-24T00:00:00"/>
    <s v=" C駐車場（池袋西口）"/>
    <x v="2"/>
    <n v="139"/>
    <n v="174062"/>
    <n v="0.55724234703107633"/>
    <n v="75"/>
    <s v="2025-08"/>
    <x v="5"/>
  </r>
  <r>
    <d v="2025-08-25T00:00:00"/>
    <s v="A駐車場 (新宿駅前)"/>
    <x v="0"/>
    <n v="159"/>
    <n v="178350"/>
    <n v="0.63532340624964145"/>
    <n v="57"/>
    <s v="2025-08"/>
    <x v="6"/>
  </r>
  <r>
    <d v="2025-08-26T00:00:00"/>
    <s v="A駐車場（新宿駅前）"/>
    <x v="0"/>
    <n v="169"/>
    <n v="223112"/>
    <n v="0.63844768405469676"/>
    <n v="78"/>
    <s v="2025-08"/>
    <x v="0"/>
  </r>
  <r>
    <d v="2025-08-27T00:00:00"/>
    <s v="D駐車場（横浜元町） "/>
    <x v="3"/>
    <n v="134"/>
    <n v="165131"/>
    <n v="0.53050009027380685"/>
    <n v="69"/>
    <s v="2025-08"/>
    <x v="1"/>
  </r>
  <r>
    <d v="2025-08-28T00:00:00"/>
    <s v="D駐車場（横浜元町）"/>
    <x v="3"/>
    <n v="98"/>
    <n v="124365"/>
    <n v="0.36616193276965542"/>
    <n v="56"/>
    <s v="2025-08"/>
    <x v="2"/>
  </r>
  <r>
    <d v="2025-08-29T00:00:00"/>
    <s v="B駐車場（渋谷南） "/>
    <x v="1"/>
    <n v="152"/>
    <n v="184647"/>
    <n v="0.6176190624985366"/>
    <n v="82"/>
    <s v="2025-08"/>
    <x v="3"/>
  </r>
  <r>
    <d v="2025-08-30T00:00:00"/>
    <s v="D駐車場 (横浜元町)"/>
    <x v="3"/>
    <n v="111"/>
    <n v="149781"/>
    <n v="0.4549378889928502"/>
    <n v="75"/>
    <s v="2025-08"/>
    <x v="4"/>
  </r>
  <r>
    <d v="2025-08-31T00:00:00"/>
    <s v="C駐車場（池袋西口）"/>
    <x v="2"/>
    <n v="138"/>
    <n v="167608"/>
    <n v="0.52724072194483218"/>
    <n v="67"/>
    <s v="2025-08"/>
    <x v="5"/>
  </r>
  <r>
    <d v="2025-09-01T00:00:00"/>
    <s v=" C駐車場（池袋西口）"/>
    <x v="2"/>
    <n v="109"/>
    <n v="135591"/>
    <n v="0.3820873183283563"/>
    <n v="68"/>
    <s v="2025-09"/>
    <x v="6"/>
  </r>
  <r>
    <d v="2025-09-02T00:00:00"/>
    <s v=" C駐車場（池袋西口）"/>
    <x v="2"/>
    <n v="143"/>
    <n v="180615"/>
    <n v="0.55656919093286139"/>
    <n v="68"/>
    <s v="2025-09"/>
    <x v="0"/>
  </r>
  <r>
    <d v="2025-09-03T00:00:00"/>
    <s v="D駐車場（横浜元町）"/>
    <x v="3"/>
    <n v="102"/>
    <n v="107262"/>
    <n v="0.39769282988267579"/>
    <n v="71"/>
    <s v="2025-09"/>
    <x v="1"/>
  </r>
  <r>
    <d v="2025-09-04T00:00:00"/>
    <s v=" C駐車場（池袋西口）"/>
    <x v="2"/>
    <n v="141"/>
    <n v="179964"/>
    <n v="0.54426678429051722"/>
    <n v="78"/>
    <s v="2025-09"/>
    <x v="2"/>
  </r>
  <r>
    <d v="2025-09-05T00:00:00"/>
    <s v=" C駐車場（池袋西口）"/>
    <x v="2"/>
    <n v="117"/>
    <n v="159752"/>
    <n v="0.4939720989035894"/>
    <n v="73"/>
    <s v="2025-09"/>
    <x v="3"/>
  </r>
  <r>
    <d v="2025-09-06T00:00:00"/>
    <s v="B駐車場（渋谷南）"/>
    <x v="1"/>
    <n v="164"/>
    <n v="210087"/>
    <n v="0.64623136421845007"/>
    <n v="88"/>
    <s v="2025-09"/>
    <x v="4"/>
  </r>
  <r>
    <d v="2025-09-07T00:00:00"/>
    <s v="D駐車場 (横浜元町)"/>
    <x v="3"/>
    <n v="116"/>
    <n v="115458"/>
    <n v="0.37072498357151579"/>
    <n v="75"/>
    <s v="2025-09"/>
    <x v="5"/>
  </r>
  <r>
    <d v="2025-09-08T00:00:00"/>
    <s v="B駐車場（渋谷南） "/>
    <x v="1"/>
    <n v="132"/>
    <n v="168668"/>
    <n v="0.46534793359187321"/>
    <n v="67"/>
    <s v="2025-09"/>
    <x v="6"/>
  </r>
  <r>
    <d v="2025-09-09T00:00:00"/>
    <s v="C駐車場 (池袋西口)"/>
    <x v="2"/>
    <n v="106"/>
    <n v="126931"/>
    <n v="0.38814925920591808"/>
    <n v="72"/>
    <s v="2025-09"/>
    <x v="0"/>
  </r>
  <r>
    <d v="2025-09-10T00:00:00"/>
    <s v="D駐車場（横浜元町） "/>
    <x v="3"/>
    <n v="67"/>
    <n v="63978"/>
    <n v="0.32"/>
    <n v="67"/>
    <s v="2025-09"/>
    <x v="1"/>
  </r>
  <r>
    <d v="2025-09-11T00:00:00"/>
    <s v="B駐車場 (渋谷南)"/>
    <x v="1"/>
    <n v="169"/>
    <n v="206112"/>
    <n v="0.67493325559989814"/>
    <n v="63"/>
    <s v="2025-09"/>
    <x v="2"/>
  </r>
  <r>
    <d v="2025-09-12T00:00:00"/>
    <s v=" A駐車場（新宿駅前）"/>
    <x v="0"/>
    <n v="155"/>
    <n v="201976"/>
    <n v="0.55662951380870018"/>
    <n v="75"/>
    <s v="2025-09"/>
    <x v="3"/>
  </r>
  <r>
    <d v="2025-09-13T00:00:00"/>
    <s v="C駐車場（池袋西口）"/>
    <x v="2"/>
    <n v="95"/>
    <n v="126508"/>
    <n v="0.36042510283664447"/>
    <n v="65"/>
    <s v="2025-09"/>
    <x v="4"/>
  </r>
  <r>
    <d v="2025-09-14T00:00:00"/>
    <s v=" A駐車場（新宿駅前）"/>
    <x v="0"/>
    <n v="150"/>
    <n v="178774"/>
    <n v="0.57606582035047338"/>
    <n v="87"/>
    <s v="2025-09"/>
    <x v="5"/>
  </r>
  <r>
    <d v="2025-09-15T00:00:00"/>
    <s v="B駐車場 (渋谷南)"/>
    <x v="1"/>
    <n v="163"/>
    <n v="196953"/>
    <n v="0.59822484054000002"/>
    <n v="68"/>
    <s v="2025-09"/>
    <x v="6"/>
  </r>
  <r>
    <d v="2025-09-16T00:00:00"/>
    <s v="C駐車場 (池袋西口)"/>
    <x v="2"/>
    <n v="86"/>
    <n v="96104"/>
    <n v="0.32210578812253032"/>
    <n v="71"/>
    <s v="2025-09"/>
    <x v="0"/>
  </r>
  <r>
    <d v="2025-09-17T00:00:00"/>
    <s v="C駐車場（池袋西口）"/>
    <x v="2"/>
    <n v="125"/>
    <n v="149928"/>
    <n v="0.51128159998042833"/>
    <n v="65"/>
    <s v="2025-09"/>
    <x v="1"/>
  </r>
  <r>
    <d v="2025-09-18T00:00:00"/>
    <s v="B駐車場 (渋谷南)"/>
    <x v="1"/>
    <n v="158"/>
    <n v="204229"/>
    <n v="0.61757720311130671"/>
    <n v="68"/>
    <s v="2025-09"/>
    <x v="2"/>
  </r>
  <r>
    <d v="2025-09-19T00:00:00"/>
    <s v="B駐車場 (渋谷南)"/>
    <x v="1"/>
    <n v="141"/>
    <n v="170854"/>
    <n v="0.5649459655829524"/>
    <n v="89"/>
    <s v="2025-09"/>
    <x v="3"/>
  </r>
  <r>
    <d v="2025-09-20T00:00:00"/>
    <s v="A駐車場 (新宿駅前)"/>
    <x v="0"/>
    <n v="143"/>
    <n v="184036"/>
    <n v="0.55296909676708716"/>
    <n v="80"/>
    <s v="2025-09"/>
    <x v="4"/>
  </r>
  <r>
    <d v="2025-09-21T00:00:00"/>
    <s v="B駐車場（渋谷南） "/>
    <x v="1"/>
    <n v="146"/>
    <n v="178849"/>
    <n v="0.57571863489301889"/>
    <n v="69"/>
    <s v="2025-09"/>
    <x v="5"/>
  </r>
  <r>
    <d v="2025-09-22T00:00:00"/>
    <s v="D駐車場（横浜元町）"/>
    <x v="3"/>
    <n v="109"/>
    <n v="106861"/>
    <n v="0.38278233942287582"/>
    <n v="69"/>
    <s v="2025-09"/>
    <x v="6"/>
  </r>
  <r>
    <d v="2025-09-23T00:00:00"/>
    <s v=" C駐車場（池袋西口）"/>
    <x v="2"/>
    <n v="129"/>
    <n v="157932"/>
    <n v="0.43979392084140861"/>
    <n v="81"/>
    <s v="2025-09"/>
    <x v="0"/>
  </r>
  <r>
    <d v="2025-09-24T00:00:00"/>
    <s v="B駐車場（渋谷南） "/>
    <x v="1"/>
    <n v="144"/>
    <n v="204347"/>
    <n v="0.57641663594098624"/>
    <n v="84"/>
    <s v="2025-09"/>
    <x v="1"/>
  </r>
  <r>
    <d v="2025-09-25T00:00:00"/>
    <s v=" A駐車場（新宿駅前）"/>
    <x v="0"/>
    <n v="138"/>
    <n v="174505"/>
    <n v="0.50647857128424667"/>
    <n v="77"/>
    <s v="2025-09"/>
    <x v="2"/>
  </r>
  <r>
    <d v="2025-09-26T00:00:00"/>
    <s v="A駐車場（新宿駅前）"/>
    <x v="0"/>
    <n v="150"/>
    <n v="187979"/>
    <n v="0.56996539127619206"/>
    <n v="64"/>
    <s v="2025-09"/>
    <x v="3"/>
  </r>
  <r>
    <d v="2025-09-27T00:00:00"/>
    <s v=" C駐車場（池袋西口）"/>
    <x v="2"/>
    <n v="136"/>
    <n v="155108"/>
    <n v="0.55187545965957496"/>
    <n v="56"/>
    <s v="2025-09"/>
    <x v="4"/>
  </r>
  <r>
    <d v="2025-09-28T00:00:00"/>
    <s v="A駐車場（新宿駅前）"/>
    <x v="0"/>
    <n v="178"/>
    <n v="218156"/>
    <n v="0.73365056922357264"/>
    <n v="87"/>
    <s v="2025-09"/>
    <x v="5"/>
  </r>
  <r>
    <d v="2025-09-29T00:00:00"/>
    <s v="B駐車場（渋谷南）"/>
    <x v="1"/>
    <n v="147"/>
    <n v="185841"/>
    <n v="0.51090654285003145"/>
    <n v="84"/>
    <s v="2025-09"/>
    <x v="6"/>
  </r>
  <r>
    <d v="2025-09-30T00:00:00"/>
    <s v="D駐車場（横浜元町） "/>
    <x v="3"/>
    <n v="102"/>
    <n v="118092"/>
    <n v="0.36637871041060732"/>
    <n v="69"/>
    <s v="2025-09"/>
    <x v="0"/>
  </r>
  <r>
    <d v="2025-10-01T00:00:00"/>
    <s v="A駐車場 (新宿駅前)"/>
    <x v="0"/>
    <n v="143"/>
    <n v="168580"/>
    <n v="0.50522670677205161"/>
    <n v="77"/>
    <s v="2025-10"/>
    <x v="1"/>
  </r>
  <r>
    <d v="2025-10-02T00:00:00"/>
    <s v=" A駐車場（新宿駅前）"/>
    <x v="0"/>
    <n v="175"/>
    <n v="209159"/>
    <n v="0.68252599249678902"/>
    <n v="62"/>
    <s v="2025-10"/>
    <x v="2"/>
  </r>
  <r>
    <d v="2025-10-03T00:00:00"/>
    <s v=" A駐車場（新宿駅前）"/>
    <x v="0"/>
    <n v="120"/>
    <n v="120956"/>
    <n v="0.46139320117240029"/>
    <n v="73"/>
    <s v="2025-10"/>
    <x v="3"/>
  </r>
  <r>
    <d v="2025-10-04T00:00:00"/>
    <s v="A駐車場 (新宿駅前)"/>
    <x v="0"/>
    <n v="170"/>
    <n v="188016"/>
    <n v="0.64862265788738172"/>
    <n v="74"/>
    <s v="2025-10"/>
    <x v="4"/>
  </r>
  <r>
    <d v="2025-10-05T00:00:00"/>
    <s v="D駐車場（横浜元町）"/>
    <x v="3"/>
    <n v="134"/>
    <n v="155133"/>
    <n v="0.52316094214476949"/>
    <n v="73"/>
    <s v="2025-10"/>
    <x v="5"/>
  </r>
  <r>
    <d v="2025-10-06T00:00:00"/>
    <s v="B駐車場 (渋谷南)"/>
    <x v="1"/>
    <n v="161"/>
    <n v="201815"/>
    <n v="0.69788552526024961"/>
    <n v="82"/>
    <s v="2025-10"/>
    <x v="6"/>
  </r>
  <r>
    <d v="2025-10-07T00:00:00"/>
    <s v="C駐車場 (池袋西口)"/>
    <x v="2"/>
    <n v="135"/>
    <n v="164599"/>
    <n v="0.50355726097811826"/>
    <n v="83"/>
    <s v="2025-10"/>
    <x v="0"/>
  </r>
  <r>
    <d v="2025-10-08T00:00:00"/>
    <s v=" C駐車場（池袋西口）"/>
    <x v="2"/>
    <n v="122"/>
    <n v="153282"/>
    <n v="0.51358653037089153"/>
    <n v="59"/>
    <s v="2025-10"/>
    <x v="1"/>
  </r>
  <r>
    <d v="2025-10-09T00:00:00"/>
    <s v="D駐車場 (横浜元町)"/>
    <x v="3"/>
    <n v="99"/>
    <n v="105099"/>
    <n v="0.38884105375381212"/>
    <n v="63"/>
    <s v="2025-10"/>
    <x v="2"/>
  </r>
  <r>
    <d v="2025-10-10T00:00:00"/>
    <s v="A駐車場（新宿駅前）"/>
    <x v="0"/>
    <n v="101"/>
    <n v="139748"/>
    <n v="0.40081478560552541"/>
    <n v="78"/>
    <s v="2025-10"/>
    <x v="3"/>
  </r>
  <r>
    <d v="2025-10-11T00:00:00"/>
    <s v=" C駐車場（池袋西口）"/>
    <x v="2"/>
    <n v="110"/>
    <n v="146186"/>
    <n v="0.37519473602837428"/>
    <n v="73"/>
    <s v="2025-10"/>
    <x v="4"/>
  </r>
  <r>
    <d v="2025-10-12T00:00:00"/>
    <s v="C駐車場（池袋西口）"/>
    <x v="2"/>
    <n v="104"/>
    <n v="115289"/>
    <n v="0.36033669965214637"/>
    <n v="57"/>
    <s v="2025-10"/>
    <x v="5"/>
  </r>
  <r>
    <d v="2025-10-13T00:00:00"/>
    <s v="C駐車場（池袋西口）"/>
    <x v="2"/>
    <n v="80"/>
    <n v="93559"/>
    <n v="0.32"/>
    <n v="69"/>
    <s v="2025-10"/>
    <x v="6"/>
  </r>
  <r>
    <d v="2025-10-14T00:00:00"/>
    <s v="A駐車場 (新宿駅前)"/>
    <x v="0"/>
    <n v="156"/>
    <n v="207527"/>
    <n v="0.54460248441117076"/>
    <n v="86"/>
    <s v="2025-10"/>
    <x v="0"/>
  </r>
  <r>
    <d v="2025-10-15T00:00:00"/>
    <s v="D駐車場（横浜元町） "/>
    <x v="3"/>
    <n v="122"/>
    <n v="139081"/>
    <n v="0.47298514704538058"/>
    <n v="59"/>
    <s v="2025-10"/>
    <x v="1"/>
  </r>
  <r>
    <d v="2025-10-16T00:00:00"/>
    <s v="C駐車場 (池袋西口)"/>
    <x v="2"/>
    <n v="110"/>
    <n v="136788"/>
    <n v="0.41937788575832102"/>
    <n v="58"/>
    <s v="2025-10"/>
    <x v="2"/>
  </r>
  <r>
    <d v="2025-10-17T00:00:00"/>
    <s v="C駐車場（池袋西口）"/>
    <x v="2"/>
    <n v="114"/>
    <n v="117164"/>
    <n v="0.44909270692977482"/>
    <n v="78"/>
    <s v="2025-10"/>
    <x v="3"/>
  </r>
  <r>
    <d v="2025-10-18T00:00:00"/>
    <s v="B駐車場 (渋谷南)"/>
    <x v="1"/>
    <n v="174"/>
    <n v="205250"/>
    <n v="0.6997765968145071"/>
    <n v="72"/>
    <s v="2025-10"/>
    <x v="4"/>
  </r>
  <r>
    <d v="2025-10-19T00:00:00"/>
    <s v="C駐車場 (池袋西口)"/>
    <x v="2"/>
    <n v="113"/>
    <n v="119792"/>
    <n v="0.42719934625453199"/>
    <n v="74"/>
    <s v="2025-10"/>
    <x v="5"/>
  </r>
  <r>
    <d v="2025-10-20T00:00:00"/>
    <s v="C駐車場（池袋西口）"/>
    <x v="2"/>
    <n v="101"/>
    <n v="119854"/>
    <n v="0.39426371641156382"/>
    <n v="72"/>
    <s v="2025-10"/>
    <x v="6"/>
  </r>
  <r>
    <d v="2025-10-21T00:00:00"/>
    <s v=" C駐車場（池袋西口）"/>
    <x v="2"/>
    <n v="60"/>
    <n v="78367"/>
    <n v="0.32"/>
    <n v="80"/>
    <s v="2025-10"/>
    <x v="0"/>
  </r>
  <r>
    <d v="2025-10-22T00:00:00"/>
    <s v="D駐車場 (横浜元町)"/>
    <x v="3"/>
    <n v="76"/>
    <n v="85616"/>
    <n v="0.32"/>
    <n v="67"/>
    <s v="2025-10"/>
    <x v="1"/>
  </r>
  <r>
    <d v="2025-10-23T00:00:00"/>
    <s v="D駐車場（横浜元町）"/>
    <x v="3"/>
    <n v="85"/>
    <n v="102535"/>
    <n v="0.3724554839497396"/>
    <n v="80"/>
    <s v="2025-10"/>
    <x v="2"/>
  </r>
  <r>
    <d v="2025-10-24T00:00:00"/>
    <s v=" A駐車場（新宿駅前）"/>
    <x v="0"/>
    <n v="166"/>
    <n v="189875"/>
    <n v="0.63152138494162335"/>
    <n v="76"/>
    <s v="2025-10"/>
    <x v="3"/>
  </r>
  <r>
    <d v="2025-10-25T00:00:00"/>
    <s v="A駐車場 (新宿駅前)"/>
    <x v="0"/>
    <n v="168"/>
    <n v="221998"/>
    <n v="0.62896904098117679"/>
    <n v="70"/>
    <s v="2025-10"/>
    <x v="4"/>
  </r>
  <r>
    <d v="2025-10-26T00:00:00"/>
    <s v="B駐車場 (渋谷南)"/>
    <x v="1"/>
    <n v="143"/>
    <n v="168691"/>
    <n v="0.57327470435893191"/>
    <n v="87"/>
    <s v="2025-10"/>
    <x v="5"/>
  </r>
  <r>
    <d v="2025-10-27T00:00:00"/>
    <s v="A駐車場 (新宿駅前)"/>
    <x v="0"/>
    <n v="194"/>
    <n v="250959"/>
    <n v="0.74976831692716706"/>
    <n v="65"/>
    <s v="2025-10"/>
    <x v="6"/>
  </r>
  <r>
    <d v="2025-10-28T00:00:00"/>
    <s v="A駐車場（新宿駅前）"/>
    <x v="0"/>
    <n v="130"/>
    <n v="158807"/>
    <n v="0.47836811524474432"/>
    <n v="91"/>
    <s v="2025-10"/>
    <x v="0"/>
  </r>
  <r>
    <d v="2025-10-29T00:00:00"/>
    <s v="C駐車場（池袋西口）"/>
    <x v="2"/>
    <n v="85"/>
    <n v="106424"/>
    <n v="0.34673028766872471"/>
    <n v="74"/>
    <s v="2025-10"/>
    <x v="1"/>
  </r>
  <r>
    <d v="2025-10-30T00:00:00"/>
    <s v="B駐車場（渋谷南）"/>
    <x v="1"/>
    <n v="141"/>
    <n v="192485"/>
    <n v="0.53541908476728484"/>
    <n v="62"/>
    <s v="2025-10"/>
    <x v="2"/>
  </r>
  <r>
    <d v="2025-10-31T00:00:00"/>
    <s v="A駐車場（新宿駅前）"/>
    <x v="0"/>
    <n v="148"/>
    <n v="192762"/>
    <n v="0.56633622976429665"/>
    <n v="78"/>
    <s v="2025-10"/>
    <x v="3"/>
  </r>
  <r>
    <d v="2025-11-01T00:00:00"/>
    <s v="D駐車場 (横浜元町)"/>
    <x v="3"/>
    <n v="128"/>
    <n v="140349"/>
    <n v="0.56573160852974713"/>
    <n v="65"/>
    <s v="2025-11"/>
    <x v="4"/>
  </r>
  <r>
    <d v="2025-11-02T00:00:00"/>
    <s v="B駐車場（渋谷南） "/>
    <x v="1"/>
    <n v="166"/>
    <n v="191794"/>
    <n v="0.59750183051453987"/>
    <n v="77"/>
    <s v="2025-11"/>
    <x v="5"/>
  </r>
  <r>
    <d v="2025-11-03T00:00:00"/>
    <s v="A駐車場（新宿駅前）"/>
    <x v="0"/>
    <n v="177"/>
    <n v="211135"/>
    <n v="0.70459988058620016"/>
    <n v="70"/>
    <s v="2025-11"/>
    <x v="6"/>
  </r>
  <r>
    <d v="2025-11-04T00:00:00"/>
    <s v="C駐車場（池袋西口）"/>
    <x v="2"/>
    <n v="75"/>
    <n v="90046"/>
    <n v="0.32"/>
    <n v="60"/>
    <s v="2025-11"/>
    <x v="0"/>
  </r>
  <r>
    <d v="2025-11-05T00:00:00"/>
    <s v="B駐車場（渋谷南）"/>
    <x v="1"/>
    <n v="174"/>
    <n v="202732"/>
    <n v="0.67213593795973936"/>
    <n v="70"/>
    <s v="2025-11"/>
    <x v="1"/>
  </r>
  <r>
    <d v="2025-11-06T00:00:00"/>
    <s v="C駐車場 (池袋西口)"/>
    <x v="2"/>
    <n v="106"/>
    <n v="124600"/>
    <n v="0.34820046117155701"/>
    <n v="67"/>
    <s v="2025-11"/>
    <x v="2"/>
  </r>
  <r>
    <d v="2025-11-07T00:00:00"/>
    <s v="B駐車場（渋谷南）"/>
    <x v="1"/>
    <n v="171"/>
    <n v="210167"/>
    <n v="0.66655928436847911"/>
    <n v="71"/>
    <s v="2025-11"/>
    <x v="3"/>
  </r>
  <r>
    <d v="2025-11-08T00:00:00"/>
    <s v="D駐車場 (横浜元町)"/>
    <x v="3"/>
    <n v="111"/>
    <n v="129868"/>
    <n v="0.44745104477553488"/>
    <n v="75"/>
    <s v="2025-11"/>
    <x v="4"/>
  </r>
  <r>
    <d v="2025-11-09T00:00:00"/>
    <s v="B駐車場（渋谷南） "/>
    <x v="1"/>
    <n v="149"/>
    <n v="175815"/>
    <n v="0.55038323189648097"/>
    <n v="87"/>
    <s v="2025-11"/>
    <x v="5"/>
  </r>
  <r>
    <d v="2025-11-10T00:00:00"/>
    <s v="C駐車場（池袋西口）"/>
    <x v="2"/>
    <n v="91"/>
    <n v="107631"/>
    <n v="0.32"/>
    <n v="68"/>
    <s v="2025-11"/>
    <x v="6"/>
  </r>
  <r>
    <d v="2025-11-11T00:00:00"/>
    <s v="C駐車場 (池袋西口)"/>
    <x v="2"/>
    <n v="90"/>
    <n v="77327"/>
    <n v="0.32"/>
    <n v="60"/>
    <s v="2025-11"/>
    <x v="0"/>
  </r>
  <r>
    <d v="2025-11-12T00:00:00"/>
    <s v="C駐車場 (池袋西口)"/>
    <x v="2"/>
    <n v="144"/>
    <n v="167051"/>
    <n v="0.56136586327633264"/>
    <n v="57"/>
    <s v="2025-11"/>
    <x v="1"/>
  </r>
  <r>
    <d v="2025-11-13T00:00:00"/>
    <s v="B駐車場（渋谷南）"/>
    <x v="1"/>
    <n v="126"/>
    <n v="153331"/>
    <n v="0.48988700766544813"/>
    <n v="70"/>
    <s v="2025-11"/>
    <x v="2"/>
  </r>
  <r>
    <d v="2025-11-14T00:00:00"/>
    <s v="B駐車場 (渋谷南)"/>
    <x v="1"/>
    <n v="170"/>
    <n v="212035"/>
    <n v="0.68496235429261765"/>
    <n v="87"/>
    <s v="2025-11"/>
    <x v="3"/>
  </r>
  <r>
    <d v="2025-11-15T00:00:00"/>
    <s v="A駐車場 (新宿駅前)"/>
    <x v="0"/>
    <n v="166"/>
    <n v="188564"/>
    <n v="0.52340620724296771"/>
    <n v="61"/>
    <s v="2025-11"/>
    <x v="4"/>
  </r>
  <r>
    <d v="2025-11-16T00:00:00"/>
    <s v="C駐車場 (池袋西口)"/>
    <x v="2"/>
    <n v="142"/>
    <n v="165400"/>
    <n v="0.503102006683396"/>
    <n v="65"/>
    <s v="2025-11"/>
    <x v="5"/>
  </r>
  <r>
    <d v="2025-11-17T00:00:00"/>
    <s v="B駐車場（渋谷南） "/>
    <x v="1"/>
    <n v="170"/>
    <n v="208229"/>
    <n v="0.62882554815280056"/>
    <n v="96"/>
    <s v="2025-11"/>
    <x v="6"/>
  </r>
  <r>
    <d v="2025-11-18T00:00:00"/>
    <s v="D駐車場（横浜元町） "/>
    <x v="3"/>
    <n v="103"/>
    <n v="130653"/>
    <n v="0.45317139265407358"/>
    <n v="64"/>
    <s v="2025-11"/>
    <x v="0"/>
  </r>
  <r>
    <d v="2025-11-19T00:00:00"/>
    <s v="D駐車場（横浜元町） "/>
    <x v="3"/>
    <n v="124"/>
    <n v="137757"/>
    <n v="0.44299903378018812"/>
    <n v="81"/>
    <s v="2025-11"/>
    <x v="1"/>
  </r>
  <r>
    <d v="2025-11-20T00:00:00"/>
    <s v="C駐車場（池袋西口）"/>
    <x v="2"/>
    <n v="122"/>
    <n v="143830"/>
    <n v="0.51464219463925509"/>
    <n v="62"/>
    <s v="2025-11"/>
    <x v="2"/>
  </r>
  <r>
    <d v="2025-11-21T00:00:00"/>
    <s v="C駐車場（池袋西口）"/>
    <x v="2"/>
    <n v="140"/>
    <n v="159033"/>
    <n v="0.56994935431585936"/>
    <n v="76"/>
    <s v="2025-11"/>
    <x v="3"/>
  </r>
  <r>
    <d v="2025-11-22T00:00:00"/>
    <s v="B駐車場 (渋谷南)"/>
    <x v="1"/>
    <n v="166"/>
    <n v="202836"/>
    <n v="0.59087526341147178"/>
    <n v="84"/>
    <s v="2025-11"/>
    <x v="4"/>
  </r>
  <r>
    <d v="2025-11-23T00:00:00"/>
    <s v=" A駐車場（新宿駅前）"/>
    <x v="0"/>
    <n v="223"/>
    <n v="264733"/>
    <n v="0.88552808747335954"/>
    <n v="81"/>
    <s v="2025-11"/>
    <x v="5"/>
  </r>
  <r>
    <d v="2025-11-24T00:00:00"/>
    <s v="C駐車場 (池袋西口)"/>
    <x v="2"/>
    <n v="104"/>
    <n v="139351"/>
    <n v="0.41268767908594078"/>
    <n v="66"/>
    <s v="2025-11"/>
    <x v="6"/>
  </r>
  <r>
    <d v="2025-11-25T00:00:00"/>
    <s v="B駐車場（渋谷南） "/>
    <x v="1"/>
    <n v="128"/>
    <n v="170008"/>
    <n v="0.50102181667312784"/>
    <n v="77"/>
    <s v="2025-11"/>
    <x v="0"/>
  </r>
  <r>
    <d v="2025-11-26T00:00:00"/>
    <s v=" C駐車場（池袋西口）"/>
    <x v="2"/>
    <n v="118"/>
    <n v="139274"/>
    <n v="0.43866758691424568"/>
    <n v="66"/>
    <s v="2025-11"/>
    <x v="1"/>
  </r>
  <r>
    <d v="2025-11-27T00:00:00"/>
    <s v="D駐車場（横浜元町） "/>
    <x v="3"/>
    <n v="119"/>
    <n v="135100"/>
    <n v="0.42976320399827561"/>
    <n v="69"/>
    <s v="2025-11"/>
    <x v="2"/>
  </r>
  <r>
    <d v="2025-11-28T00:00:00"/>
    <s v="D駐車場 (横浜元町)"/>
    <x v="3"/>
    <n v="95"/>
    <n v="95811"/>
    <n v="0.39699866982221987"/>
    <n v="70"/>
    <s v="2025-11"/>
    <x v="3"/>
  </r>
  <r>
    <d v="2025-11-29T00:00:00"/>
    <s v="B駐車場（渋谷南）"/>
    <x v="1"/>
    <n v="152"/>
    <n v="177486"/>
    <n v="0.5539680774000989"/>
    <n v="82"/>
    <s v="2025-11"/>
    <x v="4"/>
  </r>
  <r>
    <d v="2025-11-30T00:00:00"/>
    <s v=" A駐車場（新宿駅前）"/>
    <x v="0"/>
    <n v="181"/>
    <n v="226879"/>
    <n v="0.68436304339653353"/>
    <n v="77"/>
    <s v="2025-11"/>
    <x v="5"/>
  </r>
  <r>
    <d v="2025-12-01T00:00:00"/>
    <s v="D駐車場（横浜元町） "/>
    <x v="3"/>
    <n v="113"/>
    <n v="102435"/>
    <n v="0.41663736567343351"/>
    <n v="82"/>
    <s v="2025-12"/>
    <x v="6"/>
  </r>
  <r>
    <d v="2025-12-02T00:00:00"/>
    <s v="B駐車場 (渋谷南)"/>
    <x v="1"/>
    <n v="168"/>
    <n v="210610"/>
    <n v="0.6336841287955246"/>
    <n v="85"/>
    <s v="2025-12"/>
    <x v="0"/>
  </r>
  <r>
    <d v="2025-12-03T00:00:00"/>
    <s v="C駐車場 (池袋西口)"/>
    <x v="2"/>
    <n v="109"/>
    <n v="135978"/>
    <n v="0.45772620118299062"/>
    <n v="65"/>
    <s v="2025-12"/>
    <x v="1"/>
  </r>
  <r>
    <d v="2025-12-04T00:00:00"/>
    <s v="D駐車場（横浜元町）"/>
    <x v="3"/>
    <n v="101"/>
    <n v="92863"/>
    <n v="0.39136965813041602"/>
    <n v="55"/>
    <s v="2025-12"/>
    <x v="2"/>
  </r>
  <r>
    <d v="2025-12-05T00:00:00"/>
    <s v="D駐車場 (横浜元町)"/>
    <x v="3"/>
    <n v="96"/>
    <n v="110317"/>
    <n v="0.38405008365383858"/>
    <n v="68"/>
    <s v="2025-12"/>
    <x v="3"/>
  </r>
  <r>
    <d v="2025-12-06T00:00:00"/>
    <s v="B駐車場（渋谷南）"/>
    <x v="1"/>
    <n v="164"/>
    <n v="216188"/>
    <n v="0.64844949336082036"/>
    <n v="81"/>
    <s v="2025-12"/>
    <x v="4"/>
  </r>
  <r>
    <d v="2025-12-07T00:00:00"/>
    <s v="A駐車場 (新宿駅前)"/>
    <x v="0"/>
    <n v="159"/>
    <n v="198133"/>
    <n v="0.59990968233627529"/>
    <n v="72"/>
    <s v="2025-12"/>
    <x v="5"/>
  </r>
  <r>
    <d v="2025-12-08T00:00:00"/>
    <s v=" A駐車場（新宿駅前）"/>
    <x v="0"/>
    <n v="140"/>
    <n v="184238"/>
    <n v="0.53724919346773936"/>
    <n v="61"/>
    <s v="2025-12"/>
    <x v="6"/>
  </r>
  <r>
    <d v="2025-12-09T00:00:00"/>
    <s v="A駐車場（新宿駅前）"/>
    <x v="0"/>
    <n v="161"/>
    <n v="195337"/>
    <n v="0.69982073262885958"/>
    <n v="57"/>
    <s v="2025-12"/>
    <x v="0"/>
  </r>
  <r>
    <d v="2025-12-10T00:00:00"/>
    <s v="D駐車場（横浜元町） "/>
    <x v="3"/>
    <n v="119"/>
    <n v="145087"/>
    <n v="0.42204550234639721"/>
    <n v="59"/>
    <s v="2025-12"/>
    <x v="1"/>
  </r>
  <r>
    <d v="2025-12-11T00:00:00"/>
    <s v="D駐車場 (横浜元町)"/>
    <x v="3"/>
    <n v="141"/>
    <n v="145871"/>
    <n v="0.50465517823053818"/>
    <n v="78"/>
    <s v="2025-12"/>
    <x v="2"/>
  </r>
  <r>
    <d v="2025-12-12T00:00:00"/>
    <s v="A駐車場（新宿駅前）"/>
    <x v="0"/>
    <n v="177"/>
    <n v="229358"/>
    <n v="0.62522705767963371"/>
    <n v="69"/>
    <s v="2025-12"/>
    <x v="3"/>
  </r>
  <r>
    <d v="2025-12-13T00:00:00"/>
    <s v="C駐車場（池袋西口）"/>
    <x v="2"/>
    <n v="102"/>
    <n v="125785"/>
    <n v="0.36193780986249419"/>
    <n v="71"/>
    <s v="2025-12"/>
    <x v="4"/>
  </r>
  <r>
    <d v="2025-12-14T00:00:00"/>
    <s v="C駐車場 (池袋西口)"/>
    <x v="2"/>
    <n v="136"/>
    <n v="168257"/>
    <n v="0.56528133044084994"/>
    <n v="58"/>
    <s v="2025-12"/>
    <x v="5"/>
  </r>
  <r>
    <d v="2025-12-15T00:00:00"/>
    <s v="A駐車場（新宿駅前）"/>
    <x v="0"/>
    <n v="169"/>
    <n v="210651"/>
    <n v="0.61837643144497412"/>
    <n v="67"/>
    <s v="2025-12"/>
    <x v="6"/>
  </r>
  <r>
    <d v="2025-12-16T00:00:00"/>
    <s v="D駐車場 (横浜元町)"/>
    <x v="3"/>
    <n v="95"/>
    <n v="116743"/>
    <n v="0.36705290178399302"/>
    <n v="56"/>
    <s v="2025-12"/>
    <x v="0"/>
  </r>
  <r>
    <d v="2025-12-17T00:00:00"/>
    <s v="B駐車場（渋谷南）"/>
    <x v="1"/>
    <n v="176"/>
    <n v="200418"/>
    <n v="0.65710162425046847"/>
    <n v="87"/>
    <s v="2025-12"/>
    <x v="1"/>
  </r>
  <r>
    <d v="2025-12-18T00:00:00"/>
    <s v="B駐車場 (渋谷南)"/>
    <x v="1"/>
    <n v="187"/>
    <n v="230572"/>
    <n v="0.69519274571987255"/>
    <n v="81"/>
    <s v="2025-12"/>
    <x v="2"/>
  </r>
  <r>
    <d v="2025-12-19T00:00:00"/>
    <s v="D駐車場 (横浜元町)"/>
    <x v="3"/>
    <n v="132"/>
    <n v="157641"/>
    <n v="0.4863906829353562"/>
    <n v="63"/>
    <s v="2025-12"/>
    <x v="3"/>
  </r>
  <r>
    <d v="2025-12-20T00:00:00"/>
    <s v="D駐車場（横浜元町） "/>
    <x v="3"/>
    <n v="137"/>
    <n v="169692"/>
    <n v="0.52802298799951664"/>
    <n v="60"/>
    <s v="2025-12"/>
    <x v="4"/>
  </r>
  <r>
    <d v="2025-12-21T00:00:00"/>
    <s v="D駐車場（横浜元町） "/>
    <x v="3"/>
    <n v="146"/>
    <n v="162945"/>
    <n v="0.60530678066473087"/>
    <n v="67"/>
    <s v="2025-12"/>
    <x v="5"/>
  </r>
  <r>
    <d v="2025-12-22T00:00:00"/>
    <s v="C駐車場 (池袋西口)"/>
    <x v="2"/>
    <n v="130"/>
    <n v="171271"/>
    <n v="0.55989537807788481"/>
    <n v="60"/>
    <s v="2025-12"/>
    <x v="6"/>
  </r>
  <r>
    <d v="2025-12-23T00:00:00"/>
    <s v="A駐車場 (新宿駅前)"/>
    <x v="0"/>
    <n v="168"/>
    <n v="222798"/>
    <n v="0.58933938582418555"/>
    <n v="62"/>
    <s v="2025-12"/>
    <x v="0"/>
  </r>
  <r>
    <d v="2025-12-24T00:00:00"/>
    <s v="D駐車場（横浜元町）"/>
    <x v="3"/>
    <n v="128"/>
    <n v="175048"/>
    <n v="0.46717255053891438"/>
    <n v="86"/>
    <s v="2025-12"/>
    <x v="1"/>
  </r>
  <r>
    <d v="2025-12-25T00:00:00"/>
    <s v="D駐車場 (横浜元町)"/>
    <x v="3"/>
    <n v="142"/>
    <n v="156662"/>
    <n v="0.53607712971929766"/>
    <n v="62"/>
    <s v="2025-12"/>
    <x v="2"/>
  </r>
  <r>
    <d v="2025-12-26T00:00:00"/>
    <s v=" C駐車場（池袋西口）"/>
    <x v="2"/>
    <n v="107"/>
    <n v="137431"/>
    <n v="0.39426279919386042"/>
    <n v="72"/>
    <s v="2025-12"/>
    <x v="3"/>
  </r>
  <r>
    <d v="2025-12-27T00:00:00"/>
    <s v="D駐車場 (横浜元町)"/>
    <x v="3"/>
    <n v="129"/>
    <n v="140414"/>
    <n v="0.50495578517911488"/>
    <n v="76"/>
    <s v="2025-12"/>
    <x v="4"/>
  </r>
  <r>
    <d v="2025-12-28T00:00:00"/>
    <s v="B駐車場（渋谷南）"/>
    <x v="1"/>
    <n v="205"/>
    <n v="255749"/>
    <n v="0.74021977738835809"/>
    <n v="71"/>
    <s v="2025-12"/>
    <x v="5"/>
  </r>
  <r>
    <d v="2025-12-29T00:00:00"/>
    <s v=" C駐車場（池袋西口）"/>
    <x v="2"/>
    <n v="127"/>
    <n v="166593"/>
    <n v="0.48964912370547969"/>
    <n v="78"/>
    <s v="2025-12"/>
    <x v="6"/>
  </r>
  <r>
    <d v="2025-12-30T00:00:00"/>
    <s v="D駐車場（横浜元町）"/>
    <x v="3"/>
    <n v="91"/>
    <n v="111219"/>
    <n v="0.33849138324497469"/>
    <n v="73"/>
    <s v="2025-12"/>
    <x v="0"/>
  </r>
  <r>
    <d v="2025-12-31T00:00:00"/>
    <s v=" A駐車場（新宿駅前）"/>
    <x v="0"/>
    <n v="178"/>
    <n v="213163"/>
    <n v="0.68918905711408052"/>
    <n v="69"/>
    <s v="2025-12"/>
    <x v="1"/>
  </r>
  <r>
    <d v="2026-01-01T00:00:00"/>
    <s v="B駐車場 (渋谷南)"/>
    <x v="1"/>
    <n v="179"/>
    <n v="224804"/>
    <n v="0.69600343224045402"/>
    <n v="86"/>
    <s v="2026-01"/>
    <x v="2"/>
  </r>
  <r>
    <d v="2026-01-02T00:00:00"/>
    <s v="D駐車場 (横浜元町)"/>
    <x v="3"/>
    <n v="142"/>
    <n v="167599"/>
    <n v="0.54069730527314896"/>
    <n v="70"/>
    <s v="2026-01"/>
    <x v="3"/>
  </r>
  <r>
    <d v="2026-01-03T00:00:00"/>
    <s v="A駐車場（新宿駅前）"/>
    <x v="0"/>
    <n v="162"/>
    <n v="197381"/>
    <n v="0.5478925187500765"/>
    <n v="80"/>
    <s v="2026-01"/>
    <x v="4"/>
  </r>
  <r>
    <d v="2026-01-04T00:00:00"/>
    <s v="B駐車場（渋谷南）"/>
    <x v="1"/>
    <n v="186"/>
    <n v="247301"/>
    <n v="0.71488711241419445"/>
    <n v="85"/>
    <s v="2026-01"/>
    <x v="5"/>
  </r>
  <r>
    <d v="2026-01-05T00:00:00"/>
    <s v="D駐車場 (横浜元町)"/>
    <x v="3"/>
    <n v="108"/>
    <n v="128642"/>
    <n v="0.40576345408550102"/>
    <n v="63"/>
    <s v="2026-01"/>
    <x v="6"/>
  </r>
  <r>
    <d v="2026-01-06T00:00:00"/>
    <s v="A駐車場（新宿駅前）"/>
    <x v="0"/>
    <n v="162"/>
    <n v="204186"/>
    <n v="0.57383216159302097"/>
    <n v="73"/>
    <s v="2026-01"/>
    <x v="0"/>
  </r>
  <r>
    <d v="2026-01-07T00:00:00"/>
    <s v="D駐車場（横浜元町）"/>
    <x v="3"/>
    <n v="111"/>
    <n v="121367"/>
    <n v="0.52044690182083331"/>
    <n v="66"/>
    <s v="2026-01"/>
    <x v="1"/>
  </r>
  <r>
    <d v="2026-01-08T00:00:00"/>
    <s v="D駐車場（横浜元町）"/>
    <x v="3"/>
    <n v="116"/>
    <n v="162735"/>
    <n v="0.43478457747981719"/>
    <n v="64"/>
    <s v="2026-01"/>
    <x v="2"/>
  </r>
  <r>
    <d v="2026-01-09T00:00:00"/>
    <s v="A駐車場（新宿駅前）"/>
    <x v="0"/>
    <n v="201"/>
    <n v="241393"/>
    <n v="0.77385994280937254"/>
    <n v="59"/>
    <s v="2026-01"/>
    <x v="3"/>
  </r>
  <r>
    <d v="2026-01-10T00:00:00"/>
    <s v="B駐車場（渋谷南） "/>
    <x v="1"/>
    <n v="165"/>
    <n v="198529"/>
    <n v="0.66539616684883129"/>
    <n v="68"/>
    <s v="2026-01"/>
    <x v="4"/>
  </r>
  <r>
    <d v="2026-01-11T00:00:00"/>
    <s v=" A駐車場（新宿駅前）"/>
    <x v="0"/>
    <n v="144"/>
    <n v="175518"/>
    <n v="0.5892521576970895"/>
    <n v="74"/>
    <s v="2026-01"/>
    <x v="5"/>
  </r>
  <r>
    <d v="2026-01-12T00:00:00"/>
    <s v="C駐車場 (池袋西口)"/>
    <x v="2"/>
    <n v="142"/>
    <n v="170754"/>
    <n v="0.58676186420683885"/>
    <n v="67"/>
    <s v="2026-01"/>
    <x v="6"/>
  </r>
  <r>
    <d v="2026-01-13T00:00:00"/>
    <s v="D駐車場（横浜元町）"/>
    <x v="3"/>
    <n v="132"/>
    <n v="169092"/>
    <n v="0.46379040214955608"/>
    <n v="79"/>
    <s v="2026-01"/>
    <x v="0"/>
  </r>
  <r>
    <d v="2026-01-14T00:00:00"/>
    <s v=" A駐車場（新宿駅前）"/>
    <x v="0"/>
    <n v="178"/>
    <n v="228818"/>
    <n v="0.68889732376551649"/>
    <n v="67"/>
    <s v="2026-01"/>
    <x v="1"/>
  </r>
  <r>
    <d v="2026-01-15T00:00:00"/>
    <s v="A駐車場（新宿駅前）"/>
    <x v="0"/>
    <n v="216"/>
    <n v="279139"/>
    <n v="0.77505815485409935"/>
    <n v="76"/>
    <s v="2026-01"/>
    <x v="2"/>
  </r>
  <r>
    <d v="2026-01-16T00:00:00"/>
    <s v="B駐車場（渋谷南） "/>
    <x v="1"/>
    <n v="154"/>
    <n v="197394"/>
    <n v="0.57601398281260452"/>
    <n v="77"/>
    <s v="2026-01"/>
    <x v="3"/>
  </r>
  <r>
    <d v="2026-01-17T00:00:00"/>
    <s v="C駐車場 (池袋西口)"/>
    <x v="2"/>
    <n v="141"/>
    <n v="166361"/>
    <n v="0.49018110523252378"/>
    <n v="75"/>
    <s v="2026-01"/>
    <x v="4"/>
  </r>
  <r>
    <d v="2026-01-18T00:00:00"/>
    <s v="D駐車場（横浜元町） "/>
    <x v="3"/>
    <n v="141"/>
    <n v="173278"/>
    <n v="0.54003911204978083"/>
    <n v="74"/>
    <s v="2026-01"/>
    <x v="5"/>
  </r>
  <r>
    <d v="2026-01-19T00:00:00"/>
    <s v="D駐車場 (横浜元町)"/>
    <x v="3"/>
    <n v="114"/>
    <n v="153330"/>
    <n v="0.38440201053324968"/>
    <n v="84"/>
    <s v="2026-01"/>
    <x v="6"/>
  </r>
  <r>
    <d v="2026-01-20T00:00:00"/>
    <s v="D駐車場（横浜元町） "/>
    <x v="3"/>
    <n v="136"/>
    <n v="165489"/>
    <n v="0.55291783646248072"/>
    <n v="67"/>
    <s v="2026-01"/>
    <x v="0"/>
  </r>
  <r>
    <d v="2026-01-21T00:00:00"/>
    <s v=" C駐車場（池袋西口）"/>
    <x v="2"/>
    <n v="99"/>
    <n v="127248"/>
    <n v="0.35338042694828442"/>
    <n v="59"/>
    <s v="2026-01"/>
    <x v="1"/>
  </r>
  <r>
    <d v="2026-01-22T00:00:00"/>
    <s v="D駐車場 (横浜元町)"/>
    <x v="3"/>
    <n v="107"/>
    <n v="153718"/>
    <n v="0.44003278407519242"/>
    <n v="68"/>
    <s v="2026-01"/>
    <x v="2"/>
  </r>
  <r>
    <d v="2026-01-23T00:00:00"/>
    <s v="C駐車場 (池袋西口)"/>
    <x v="2"/>
    <n v="107"/>
    <n v="142851"/>
    <n v="0.3980767577406249"/>
    <n v="70"/>
    <s v="2026-01"/>
    <x v="3"/>
  </r>
  <r>
    <d v="2026-01-24T00:00:00"/>
    <s v="A駐車場 (新宿駅前)"/>
    <x v="0"/>
    <n v="217"/>
    <n v="260853"/>
    <n v="0.82489132818064193"/>
    <n v="63"/>
    <s v="2026-01"/>
    <x v="4"/>
  </r>
  <r>
    <d v="2026-01-25T00:00:00"/>
    <s v="D駐車場 (横浜元町)"/>
    <x v="3"/>
    <n v="131"/>
    <n v="147454"/>
    <n v="0.49514046858197502"/>
    <n v="75"/>
    <s v="2026-01"/>
    <x v="5"/>
  </r>
  <r>
    <d v="2026-01-26T00:00:00"/>
    <s v="D駐車場 (横浜元町)"/>
    <x v="3"/>
    <n v="175"/>
    <n v="221200"/>
    <n v="0.63795466911279908"/>
    <n v="71"/>
    <s v="2026-01"/>
    <x v="6"/>
  </r>
  <r>
    <d v="2026-01-27T00:00:00"/>
    <s v="C駐車場（池袋西口）"/>
    <x v="2"/>
    <n v="121"/>
    <n v="123045"/>
    <n v="0.4008785953043062"/>
    <n v="58"/>
    <s v="2026-01"/>
    <x v="0"/>
  </r>
  <r>
    <d v="2026-01-28T00:00:00"/>
    <s v="B駐車場（渋谷南） "/>
    <x v="1"/>
    <n v="176"/>
    <n v="215358"/>
    <n v="0.72929702630877458"/>
    <n v="76"/>
    <s v="2026-01"/>
    <x v="1"/>
  </r>
  <r>
    <d v="2026-01-29T00:00:00"/>
    <s v=" A駐車場（新宿駅前）"/>
    <x v="0"/>
    <n v="198"/>
    <n v="242174"/>
    <n v="0.71930051996103539"/>
    <n v="71"/>
    <s v="2026-01"/>
    <x v="2"/>
  </r>
  <r>
    <d v="2026-01-30T00:00:00"/>
    <s v="D駐車場（横浜元町） "/>
    <x v="3"/>
    <n v="100"/>
    <n v="121163"/>
    <n v="0.37730109653738891"/>
    <n v="65"/>
    <s v="2026-01"/>
    <x v="3"/>
  </r>
  <r>
    <d v="2026-01-31T00:00:00"/>
    <s v=" C駐車場（池袋西口）"/>
    <x v="2"/>
    <n v="103"/>
    <n v="138012"/>
    <n v="0.45818475528062319"/>
    <n v="80"/>
    <s v="2026-01"/>
    <x v="4"/>
  </r>
  <r>
    <d v="2026-02-01T00:00:00"/>
    <s v="C駐車場 (池袋西口)"/>
    <x v="2"/>
    <n v="131"/>
    <n v="158152"/>
    <n v="0.46427413705063292"/>
    <n v="68"/>
    <s v="2026-02"/>
    <x v="5"/>
  </r>
  <r>
    <d v="2026-02-02T00:00:00"/>
    <s v="C駐車場 (池袋西口)"/>
    <x v="2"/>
    <n v="138"/>
    <n v="165706"/>
    <n v="0.52894422716387945"/>
    <n v="66"/>
    <s v="2026-02"/>
    <x v="6"/>
  </r>
  <r>
    <d v="2026-02-03T00:00:00"/>
    <s v="B駐車場 (渋谷南)"/>
    <x v="1"/>
    <n v="208"/>
    <n v="249519"/>
    <n v="0.75587550222528266"/>
    <n v="76"/>
    <s v="2026-02"/>
    <x v="0"/>
  </r>
  <r>
    <d v="2026-02-04T00:00:00"/>
    <s v="D駐車場（横浜元町） "/>
    <x v="3"/>
    <n v="130"/>
    <n v="164249"/>
    <n v="0.52004057165373974"/>
    <n v="80"/>
    <s v="2026-02"/>
    <x v="1"/>
  </r>
  <r>
    <d v="2026-02-05T00:00:00"/>
    <s v="B駐車場 (渋谷南)"/>
    <x v="1"/>
    <n v="163"/>
    <n v="206081"/>
    <n v="0.65125363399398417"/>
    <n v="78"/>
    <s v="2026-02"/>
    <x v="2"/>
  </r>
  <r>
    <d v="2026-02-06T00:00:00"/>
    <s v=" A駐車場（新宿駅前）"/>
    <x v="0"/>
    <n v="194"/>
    <n v="222504"/>
    <n v="0.73073179876231142"/>
    <n v="75"/>
    <s v="2026-02"/>
    <x v="3"/>
  </r>
  <r>
    <d v="2026-02-07T00:00:00"/>
    <s v="C駐車場 (池袋西口)"/>
    <x v="2"/>
    <n v="124"/>
    <n v="138119"/>
    <n v="0.44927337041393228"/>
    <n v="64"/>
    <s v="2026-02"/>
    <x v="4"/>
  </r>
  <r>
    <d v="2026-02-08T00:00:00"/>
    <s v=" C駐車場（池袋西口）"/>
    <x v="2"/>
    <n v="166"/>
    <n v="189702"/>
    <n v="0.62419945487973838"/>
    <n v="61"/>
    <s v="2026-02"/>
    <x v="5"/>
  </r>
  <r>
    <d v="2026-02-09T00:00:00"/>
    <s v="B駐車場（渋谷南） "/>
    <x v="1"/>
    <n v="176"/>
    <n v="222974"/>
    <n v="0.64088529933251936"/>
    <n v="84"/>
    <s v="2026-02"/>
    <x v="6"/>
  </r>
  <r>
    <d v="2026-02-10T00:00:00"/>
    <s v="D駐車場（横浜元町） "/>
    <x v="3"/>
    <n v="111"/>
    <n v="115989"/>
    <n v="0.33507000388707098"/>
    <n v="42"/>
    <s v="2026-02"/>
    <x v="0"/>
  </r>
  <r>
    <d v="2026-02-11T00:00:00"/>
    <s v="B駐車場（渋谷南） "/>
    <x v="1"/>
    <n v="196"/>
    <n v="264314"/>
    <n v="0.70255975246837743"/>
    <n v="67"/>
    <s v="2026-02"/>
    <x v="1"/>
  </r>
  <r>
    <d v="2026-02-12T00:00:00"/>
    <s v="B駐車場（渋谷南） "/>
    <x v="1"/>
    <n v="202"/>
    <n v="222120"/>
    <n v="0.73603624768010112"/>
    <n v="77"/>
    <s v="2026-02"/>
    <x v="2"/>
  </r>
  <r>
    <d v="2026-02-13T00:00:00"/>
    <s v="D駐車場（横浜元町） "/>
    <x v="3"/>
    <n v="141"/>
    <n v="178414"/>
    <n v="0.54933169739604304"/>
    <n v="64"/>
    <s v="2026-02"/>
    <x v="3"/>
  </r>
  <r>
    <d v="2026-02-14T00:00:00"/>
    <s v="C駐車場 (池袋西口)"/>
    <x v="2"/>
    <n v="156"/>
    <n v="197194"/>
    <n v="0.5971971306351177"/>
    <n v="54"/>
    <s v="2026-02"/>
    <x v="4"/>
  </r>
  <r>
    <d v="2026-02-15T00:00:00"/>
    <s v="C駐車場 (池袋西口)"/>
    <x v="2"/>
    <n v="151"/>
    <n v="157625"/>
    <n v="0.5371544742512071"/>
    <n v="79"/>
    <s v="2026-02"/>
    <x v="5"/>
  </r>
  <r>
    <d v="2026-02-16T00:00:00"/>
    <s v="B駐車場（渋谷南）"/>
    <x v="1"/>
    <n v="193"/>
    <n v="238961"/>
    <n v="0.77046105597658954"/>
    <n v="66"/>
    <s v="2026-02"/>
    <x v="6"/>
  </r>
  <r>
    <d v="2026-02-17T00:00:00"/>
    <s v="C駐車場（池袋西口）"/>
    <x v="2"/>
    <n v="116"/>
    <n v="156039"/>
    <n v="0.34237359165920361"/>
    <n v="77"/>
    <s v="2026-02"/>
    <x v="0"/>
  </r>
  <r>
    <d v="2026-02-18T00:00:00"/>
    <s v="D駐車場 (横浜元町)"/>
    <x v="3"/>
    <n v="135"/>
    <n v="163626"/>
    <n v="0.52564696779904208"/>
    <n v="75"/>
    <s v="2026-02"/>
    <x v="1"/>
  </r>
  <r>
    <d v="2026-02-19T00:00:00"/>
    <s v="C駐車場 (池袋西口)"/>
    <x v="2"/>
    <n v="127"/>
    <n v="146964"/>
    <n v="0.51733242574830407"/>
    <n v="67"/>
    <s v="2026-02"/>
    <x v="2"/>
  </r>
  <r>
    <d v="2026-02-20T00:00:00"/>
    <s v="B駐車場 (渋谷南)"/>
    <x v="1"/>
    <n v="216"/>
    <n v="262958"/>
    <n v="0.92628491333422491"/>
    <n v="65"/>
    <s v="2026-02"/>
    <x v="3"/>
  </r>
  <r>
    <d v="2026-02-21T00:00:00"/>
    <s v="B駐車場（渋谷南） "/>
    <x v="1"/>
    <n v="210"/>
    <n v="268811"/>
    <n v="0.8087280441298379"/>
    <n v="93"/>
    <s v="2026-02"/>
    <x v="4"/>
  </r>
  <r>
    <d v="2026-02-22T00:00:00"/>
    <s v=" C駐車場（池袋西口）"/>
    <x v="2"/>
    <n v="135"/>
    <n v="152276"/>
    <n v="0.57462375684485045"/>
    <n v="74"/>
    <s v="2026-02"/>
    <x v="5"/>
  </r>
  <r>
    <d v="2026-02-23T00:00:00"/>
    <s v="C駐車場 (池袋西口)"/>
    <x v="2"/>
    <n v="117"/>
    <n v="143129"/>
    <n v="0.38859426420272147"/>
    <n v="60"/>
    <s v="2026-02"/>
    <x v="6"/>
  </r>
  <r>
    <d v="2026-02-24T00:00:00"/>
    <s v=" C駐車場（池袋西口）"/>
    <x v="2"/>
    <n v="156"/>
    <n v="168346"/>
    <n v="0.52644639484057609"/>
    <n v="80"/>
    <s v="2026-02"/>
    <x v="0"/>
  </r>
  <r>
    <d v="2026-02-25T00:00:00"/>
    <s v=" C駐車場（池袋西口）"/>
    <x v="2"/>
    <n v="145"/>
    <n v="162948"/>
    <n v="0.51777651638883759"/>
    <n v="63"/>
    <s v="2026-02"/>
    <x v="1"/>
  </r>
  <r>
    <d v="2026-02-26T00:00:00"/>
    <s v=" A駐車場（新宿駅前）"/>
    <x v="0"/>
    <n v="217"/>
    <n v="277040"/>
    <n v="0.8171653903134144"/>
    <n v="73"/>
    <s v="2026-02"/>
    <x v="2"/>
  </r>
  <r>
    <d v="2026-02-27T00:00:00"/>
    <s v="A駐車場（新宿駅前）"/>
    <x v="0"/>
    <n v="211"/>
    <n v="256770"/>
    <n v="0.88821360283589168"/>
    <n v="71"/>
    <s v="2026-02"/>
    <x v="3"/>
  </r>
  <r>
    <d v="2026-02-28T00:00:00"/>
    <s v="A駐車場（新宿駅前）"/>
    <x v="0"/>
    <n v="200"/>
    <n v="236478"/>
    <n v="0.71674838443131073"/>
    <n v="84"/>
    <s v="2026-02"/>
    <x v="4"/>
  </r>
  <r>
    <d v="2026-03-01T00:00:00"/>
    <s v="C駐車場（池袋西口）"/>
    <x v="2"/>
    <n v="144"/>
    <n v="151455"/>
    <n v="0.5400279856469804"/>
    <n v="69"/>
    <s v="2026-03"/>
    <x v="5"/>
  </r>
  <r>
    <d v="2026-03-02T00:00:00"/>
    <s v="D駐車場 (横浜元町)"/>
    <x v="3"/>
    <n v="153"/>
    <n v="186585"/>
    <n v="0.55076014333822954"/>
    <n v="68"/>
    <s v="2026-03"/>
    <x v="6"/>
  </r>
  <r>
    <d v="2026-03-03T00:00:00"/>
    <s v="A駐車場（新宿駅前）"/>
    <x v="0"/>
    <n v="212"/>
    <n v="257705"/>
    <n v="0.82443379004963491"/>
    <n v="74"/>
    <s v="2026-03"/>
    <x v="0"/>
  </r>
  <r>
    <d v="2026-03-04T00:00:00"/>
    <s v="A駐車場 (新宿駅前)"/>
    <x v="0"/>
    <n v="179"/>
    <n v="241203"/>
    <n v="0.72773944076635666"/>
    <n v="82"/>
    <s v="2026-03"/>
    <x v="1"/>
  </r>
  <r>
    <d v="2026-03-05T00:00:00"/>
    <s v="A駐車場 (新宿駅前)"/>
    <x v="0"/>
    <n v="191"/>
    <n v="232721"/>
    <n v="0.71246209027178886"/>
    <n v="65"/>
    <s v="2026-03"/>
    <x v="2"/>
  </r>
  <r>
    <d v="2026-03-06T00:00:00"/>
    <s v="D駐車場（横浜元町）"/>
    <x v="3"/>
    <n v="118"/>
    <n v="129417"/>
    <n v="0.46908316057293231"/>
    <n v="86"/>
    <s v="2026-03"/>
    <x v="3"/>
  </r>
  <r>
    <d v="2026-03-07T00:00:00"/>
    <s v="C駐車場（池袋西口）"/>
    <x v="2"/>
    <n v="164"/>
    <n v="192773"/>
    <n v="0.64875981721613485"/>
    <n v="72"/>
    <s v="2026-03"/>
    <x v="4"/>
  </r>
  <r>
    <d v="2026-03-08T00:00:00"/>
    <s v="A駐車場 (新宿駅前)"/>
    <x v="0"/>
    <n v="224"/>
    <n v="258915"/>
    <n v="0.84806037843695914"/>
    <n v="81"/>
    <s v="2026-03"/>
    <x v="5"/>
  </r>
  <r>
    <d v="2026-03-09T00:00:00"/>
    <s v="C駐車場（池袋西口）"/>
    <x v="2"/>
    <n v="119"/>
    <n v="124920"/>
    <n v="0.46472405318211329"/>
    <n v="62"/>
    <s v="2026-03"/>
    <x v="6"/>
  </r>
  <r>
    <d v="2026-03-10T00:00:00"/>
    <s v="D駐車場（横浜元町） "/>
    <x v="3"/>
    <n v="128"/>
    <n v="146246"/>
    <n v="0.49648192785099737"/>
    <n v="69"/>
    <s v="2026-03"/>
    <x v="0"/>
  </r>
  <r>
    <d v="2026-03-11T00:00:00"/>
    <s v="D駐車場（横浜元町）"/>
    <x v="3"/>
    <n v="148"/>
    <n v="161224"/>
    <n v="0.53404553535865351"/>
    <n v="79"/>
    <s v="2026-03"/>
    <x v="1"/>
  </r>
  <r>
    <d v="2026-03-12T00:00:00"/>
    <s v="A駐車場 (新宿駅前)"/>
    <x v="0"/>
    <n v="207"/>
    <n v="253264"/>
    <n v="0.87155692436344223"/>
    <n v="62"/>
    <s v="2026-03"/>
    <x v="2"/>
  </r>
  <r>
    <d v="2026-03-13T00:00:00"/>
    <s v="D駐車場（横浜元町） "/>
    <x v="3"/>
    <n v="117"/>
    <n v="142513"/>
    <n v="0.42240149910636487"/>
    <n v="62"/>
    <s v="2026-03"/>
    <x v="3"/>
  </r>
  <r>
    <d v="2026-03-14T00:00:00"/>
    <s v=" C駐車場（池袋西口）"/>
    <x v="2"/>
    <n v="186"/>
    <n v="234217"/>
    <n v="0.73546037443086887"/>
    <n v="67"/>
    <s v="2026-03"/>
    <x v="4"/>
  </r>
  <r>
    <d v="2026-03-15T00:00:00"/>
    <s v=" C駐車場（池袋西口）"/>
    <x v="2"/>
    <n v="141"/>
    <n v="149373"/>
    <n v="0.54919463501632748"/>
    <n v="65"/>
    <s v="2026-03"/>
    <x v="5"/>
  </r>
  <r>
    <d v="2026-03-16T00:00:00"/>
    <s v="D駐車場（横浜元町）"/>
    <x v="3"/>
    <n v="129"/>
    <n v="148311"/>
    <n v="0.47035289740503949"/>
    <n v="59"/>
    <s v="2026-03"/>
    <x v="6"/>
  </r>
  <r>
    <d v="2026-03-17T00:00:00"/>
    <s v="B駐車場（渋谷南）"/>
    <x v="1"/>
    <n v="186"/>
    <n v="223792"/>
    <n v="0.75612892379955632"/>
    <n v="75"/>
    <s v="2026-03"/>
    <x v="0"/>
  </r>
  <r>
    <d v="2026-03-18T00:00:00"/>
    <s v="B駐車場（渋谷南） "/>
    <x v="1"/>
    <n v="189"/>
    <n v="209960"/>
    <n v="0.72504567218424043"/>
    <n v="74"/>
    <s v="2026-03"/>
    <x v="1"/>
  </r>
  <r>
    <d v="2026-03-19T00:00:00"/>
    <s v=" C駐車場（池袋西口）"/>
    <x v="2"/>
    <n v="125"/>
    <n v="147350"/>
    <n v="0.52935585833033827"/>
    <n v="66"/>
    <s v="2026-03"/>
    <x v="2"/>
  </r>
  <r>
    <d v="2026-03-20T00:00:00"/>
    <s v="A駐車場 (新宿駅前)"/>
    <x v="0"/>
    <n v="172"/>
    <n v="209878"/>
    <n v="0.64343627202815612"/>
    <n v="76"/>
    <s v="2026-03"/>
    <x v="3"/>
  </r>
  <r>
    <d v="2026-03-21T00:00:00"/>
    <s v="B駐車場（渋谷南） "/>
    <x v="1"/>
    <n v="205"/>
    <n v="253340"/>
    <n v="0.79193476873771662"/>
    <n v="77"/>
    <s v="2026-03"/>
    <x v="4"/>
  </r>
  <r>
    <d v="2026-03-22T00:00:00"/>
    <s v="D駐車場（横浜元町）"/>
    <x v="3"/>
    <n v="154"/>
    <n v="176558"/>
    <n v="0.60140963370730049"/>
    <n v="69"/>
    <s v="2026-03"/>
    <x v="5"/>
  </r>
  <r>
    <d v="2026-03-23T00:00:00"/>
    <s v="B駐車場（渋谷南）"/>
    <x v="1"/>
    <n v="165"/>
    <n v="214220"/>
    <n v="0.6327383619013538"/>
    <n v="81"/>
    <s v="2026-03"/>
    <x v="6"/>
  </r>
  <r>
    <d v="2026-03-24T00:00:00"/>
    <s v="B駐車場（渋谷南） "/>
    <x v="1"/>
    <n v="193"/>
    <n v="253567"/>
    <n v="0.77627287969926495"/>
    <n v="80"/>
    <s v="2026-03"/>
    <x v="0"/>
  </r>
  <r>
    <d v="2026-03-25T00:00:00"/>
    <s v="C駐車場 (池袋西口)"/>
    <x v="2"/>
    <n v="156"/>
    <n v="192487"/>
    <n v="0.58024985689596675"/>
    <n v="72"/>
    <s v="2026-03"/>
    <x v="1"/>
  </r>
  <r>
    <d v="2026-03-26T00:00:00"/>
    <s v="D駐車場（横浜元町）"/>
    <x v="3"/>
    <n v="101"/>
    <n v="141782"/>
    <n v="0.44898849316302408"/>
    <n v="69"/>
    <s v="2026-03"/>
    <x v="2"/>
  </r>
  <r>
    <d v="2026-03-27T00:00:00"/>
    <s v="D駐車場（横浜元町） "/>
    <x v="3"/>
    <n v="156"/>
    <n v="184763"/>
    <n v="0.5646458232903433"/>
    <n v="60"/>
    <s v="2026-03"/>
    <x v="3"/>
  </r>
  <r>
    <d v="2026-03-28T00:00:00"/>
    <s v="D駐車場（横浜元町） "/>
    <x v="3"/>
    <n v="162"/>
    <n v="173820"/>
    <n v="0.65722539051111739"/>
    <n v="75"/>
    <s v="2026-03"/>
    <x v="4"/>
  </r>
  <r>
    <d v="2026-03-29T00:00:00"/>
    <s v="A駐車場 (新宿駅前)"/>
    <x v="0"/>
    <n v="221"/>
    <n v="268478"/>
    <n v="0.84804614672540402"/>
    <n v="74"/>
    <s v="2026-03"/>
    <x v="5"/>
  </r>
  <r>
    <d v="2026-03-30T00:00:00"/>
    <s v="C駐車場（池袋西口）"/>
    <x v="2"/>
    <n v="111"/>
    <n v="137230"/>
    <n v="0.39062514001454002"/>
    <n v="63"/>
    <s v="2026-03"/>
    <x v="6"/>
  </r>
  <r>
    <d v="2026-03-31T00:00:00"/>
    <s v="D駐車場 (横浜元町)"/>
    <x v="3"/>
    <n v="129"/>
    <n v="145515"/>
    <n v="0.4784763727956769"/>
    <n v="85"/>
    <s v="2026-03"/>
    <x v="0"/>
  </r>
  <r>
    <d v="2026-04-01T00:00:00"/>
    <s v="C駐車場（池袋西口）"/>
    <x v="2"/>
    <n v="127"/>
    <n v="153690"/>
    <n v="0.50621640440108107"/>
    <n v="66"/>
    <s v="2026-04"/>
    <x v="1"/>
  </r>
  <r>
    <d v="2026-04-02T00:00:00"/>
    <s v="B駐車場（渋谷南） "/>
    <x v="1"/>
    <n v="175"/>
    <n v="220246"/>
    <n v="0.69700447409084199"/>
    <n v="83"/>
    <s v="2026-04"/>
    <x v="2"/>
  </r>
  <r>
    <d v="2026-04-03T00:00:00"/>
    <s v="D駐車場（横浜元町）"/>
    <x v="3"/>
    <n v="133"/>
    <n v="161648"/>
    <n v="0.54075634245859294"/>
    <n v="80"/>
    <s v="2026-04"/>
    <x v="3"/>
  </r>
  <r>
    <d v="2026-04-04T00:00:00"/>
    <s v="B駐車場（渋谷南） "/>
    <x v="1"/>
    <n v="217"/>
    <n v="273995"/>
    <n v="0.80871086145297977"/>
    <n v="85"/>
    <s v="2026-04"/>
    <x v="4"/>
  </r>
  <r>
    <d v="2026-04-05T00:00:00"/>
    <s v=" A駐車場（新宿駅前）"/>
    <x v="0"/>
    <n v="245"/>
    <n v="291913"/>
    <n v="0.90077554042371621"/>
    <n v="68"/>
    <s v="2026-04"/>
    <x v="5"/>
  </r>
  <r>
    <d v="2026-04-06T00:00:00"/>
    <s v="B駐車場（渋谷南） "/>
    <x v="1"/>
    <n v="194"/>
    <n v="243519"/>
    <n v="0.75095121615624127"/>
    <n v="72"/>
    <s v="2026-04"/>
    <x v="6"/>
  </r>
  <r>
    <d v="2026-04-07T00:00:00"/>
    <s v="A駐車場（新宿駅前）"/>
    <x v="0"/>
    <n v="183"/>
    <n v="218667"/>
    <n v="0.70666886021350028"/>
    <n v="70"/>
    <s v="2026-04"/>
    <x v="0"/>
  </r>
  <r>
    <d v="2026-04-08T00:00:00"/>
    <s v="B駐車場（渋谷南）"/>
    <x v="1"/>
    <n v="219"/>
    <n v="284268"/>
    <n v="0.84877886961928262"/>
    <n v="74"/>
    <s v="2026-04"/>
    <x v="1"/>
  </r>
  <r>
    <d v="2026-04-09T00:00:00"/>
    <s v="D駐車場（横浜元町） "/>
    <x v="3"/>
    <n v="142"/>
    <n v="155309"/>
    <n v="0.59831509006013162"/>
    <n v="72"/>
    <s v="2026-04"/>
    <x v="2"/>
  </r>
  <r>
    <d v="2026-04-10T00:00:00"/>
    <s v="B駐車場 (渋谷南)"/>
    <x v="1"/>
    <n v="187"/>
    <n v="244761"/>
    <n v="0.74795566819632175"/>
    <n v="86"/>
    <s v="2026-04"/>
    <x v="3"/>
  </r>
  <r>
    <d v="2026-04-11T00:00:00"/>
    <s v="D駐車場（横浜元町） "/>
    <x v="3"/>
    <n v="125"/>
    <n v="154222"/>
    <n v="0.50706942475997541"/>
    <n v="72"/>
    <s v="2026-04"/>
    <x v="4"/>
  </r>
  <r>
    <d v="2026-04-12T00:00:00"/>
    <s v="B駐車場（渋谷南） "/>
    <x v="1"/>
    <n v="183"/>
    <n v="211102"/>
    <n v="0.73319565384479535"/>
    <n v="54"/>
    <s v="2026-04"/>
    <x v="5"/>
  </r>
  <r>
    <d v="2026-04-13T00:00:00"/>
    <s v="C駐車場 (池袋西口)"/>
    <x v="2"/>
    <n v="157"/>
    <n v="179435"/>
    <n v="0.58700965735932009"/>
    <n v="71"/>
    <s v="2026-04"/>
    <x v="6"/>
  </r>
  <r>
    <d v="2026-04-14T00:00:00"/>
    <s v="A駐車場 (新宿駅前)"/>
    <x v="0"/>
    <n v="220"/>
    <n v="255708"/>
    <n v="0.94702942410282009"/>
    <n v="80"/>
    <s v="2026-04"/>
    <x v="0"/>
  </r>
  <r>
    <d v="2026-04-15T00:00:00"/>
    <s v="B駐車場（渋谷南）"/>
    <x v="1"/>
    <n v="211"/>
    <n v="271968"/>
    <n v="0.80485993950400958"/>
    <n v="92"/>
    <s v="2026-04"/>
    <x v="1"/>
  </r>
  <r>
    <d v="2026-04-16T00:00:00"/>
    <s v="C駐車場 (池袋西口)"/>
    <x v="2"/>
    <n v="190"/>
    <n v="211420"/>
    <n v="0.74262877518348014"/>
    <n v="73"/>
    <s v="2026-04"/>
    <x v="2"/>
  </r>
  <r>
    <d v="2026-04-17T00:00:00"/>
    <s v=" A駐車場（新宿駅前）"/>
    <x v="0"/>
    <n v="190"/>
    <n v="221102"/>
    <n v="0.71311551820083086"/>
    <n v="70"/>
    <s v="2026-04"/>
    <x v="3"/>
  </r>
  <r>
    <d v="2026-04-18T00:00:00"/>
    <s v="B駐車場（渋谷南）"/>
    <x v="1"/>
    <n v="196"/>
    <n v="243353"/>
    <n v="0.75652629321572784"/>
    <n v="83"/>
    <s v="2026-04"/>
    <x v="4"/>
  </r>
  <r>
    <d v="2026-04-19T00:00:00"/>
    <s v="B駐車場（渋谷南）"/>
    <x v="1"/>
    <n v="210"/>
    <n v="250127"/>
    <n v="0.83543672211370479"/>
    <n v="90"/>
    <s v="2026-04"/>
    <x v="5"/>
  </r>
  <r>
    <d v="2026-04-20T00:00:00"/>
    <s v="B駐車場（渋谷南）"/>
    <x v="1"/>
    <n v="154"/>
    <n v="177091"/>
    <n v="0.60264089197694637"/>
    <n v="62"/>
    <s v="2026-04"/>
    <x v="6"/>
  </r>
  <r>
    <d v="2026-04-21T00:00:00"/>
    <s v="D駐車場 (横浜元町)"/>
    <x v="3"/>
    <n v="119"/>
    <n v="133636"/>
    <n v="0.41561481880081169"/>
    <n v="89"/>
    <s v="2026-04"/>
    <x v="0"/>
  </r>
  <r>
    <d v="2026-04-22T00:00:00"/>
    <s v="C駐車場（池袋西口）"/>
    <x v="2"/>
    <n v="160"/>
    <n v="218476"/>
    <n v="0.58744335085162158"/>
    <n v="50"/>
    <s v="2026-04"/>
    <x v="1"/>
  </r>
  <r>
    <d v="2026-04-23T00:00:00"/>
    <s v="D駐車場 (横浜元町)"/>
    <x v="3"/>
    <n v="123"/>
    <n v="161082"/>
    <n v="0.51246564042780662"/>
    <n v="79"/>
    <s v="2026-04"/>
    <x v="2"/>
  </r>
  <r>
    <d v="2026-04-24T00:00:00"/>
    <s v="B駐車場（渋谷南） "/>
    <x v="1"/>
    <n v="156"/>
    <n v="177219"/>
    <n v="0.62421660483843799"/>
    <n v="76"/>
    <s v="2026-04"/>
    <x v="3"/>
  </r>
  <r>
    <d v="2026-04-25T00:00:00"/>
    <s v="C駐車場 (池袋西口)"/>
    <x v="2"/>
    <n v="149"/>
    <n v="168466"/>
    <n v="0.5941667982003882"/>
    <n v="67"/>
    <s v="2026-04"/>
    <x v="4"/>
  </r>
  <r>
    <d v="2026-04-26T00:00:00"/>
    <s v="D駐車場 (横浜元町)"/>
    <x v="3"/>
    <n v="156"/>
    <n v="183108"/>
    <n v="0.58863603441709933"/>
    <n v="63"/>
    <s v="2026-04"/>
    <x v="5"/>
  </r>
  <r>
    <d v="2026-04-27T00:00:00"/>
    <s v=" A駐車場（新宿駅前）"/>
    <x v="0"/>
    <n v="171"/>
    <n v="221422"/>
    <n v="0.72905424497508853"/>
    <n v="68"/>
    <s v="2026-04"/>
    <x v="6"/>
  </r>
  <r>
    <d v="2026-04-28T00:00:00"/>
    <s v="D駐車場（横浜元町）"/>
    <x v="3"/>
    <n v="149"/>
    <n v="182489"/>
    <n v="0.60643218282336442"/>
    <n v="61"/>
    <s v="2026-04"/>
    <x v="0"/>
  </r>
  <r>
    <d v="2026-04-29T00:00:00"/>
    <s v="A駐車場（新宿駅前）"/>
    <x v="0"/>
    <n v="195"/>
    <n v="234919"/>
    <n v="0.77701308033265981"/>
    <n v="72"/>
    <s v="2026-04"/>
    <x v="1"/>
  </r>
  <r>
    <d v="2026-04-30T00:00:00"/>
    <s v="B駐車場（渋谷南） "/>
    <x v="1"/>
    <n v="196"/>
    <n v="238438"/>
    <n v="0.82822684812153213"/>
    <n v="86"/>
    <s v="2026-04"/>
    <x v="2"/>
  </r>
  <r>
    <d v="2026-05-01T00:00:00"/>
    <s v="A駐車場（新宿駅前）"/>
    <x v="0"/>
    <n v="169"/>
    <n v="213488"/>
    <n v="0.62082115137372662"/>
    <n v="66"/>
    <s v="2026-05"/>
    <x v="3"/>
  </r>
  <r>
    <d v="2026-05-02T00:00:00"/>
    <s v="B駐車場 (渋谷南)"/>
    <x v="1"/>
    <n v="220"/>
    <n v="270827"/>
    <n v="0.77094015331278976"/>
    <n v="71"/>
    <s v="2026-05"/>
    <x v="4"/>
  </r>
  <r>
    <d v="2026-05-03T00:00:00"/>
    <s v="C駐車場（池袋西口）"/>
    <x v="2"/>
    <n v="149"/>
    <n v="181127"/>
    <n v="0.51278389518599987"/>
    <n v="61"/>
    <s v="2026-05"/>
    <x v="5"/>
  </r>
  <r>
    <d v="2026-05-04T00:00:00"/>
    <s v="A駐車場（新宿駅前）"/>
    <x v="0"/>
    <n v="179"/>
    <n v="222784"/>
    <n v="0.66357630779208743"/>
    <n v="62"/>
    <s v="2026-05"/>
    <x v="6"/>
  </r>
  <r>
    <d v="2026-05-05T00:00:00"/>
    <s v="B駐車場（渋谷南） "/>
    <x v="1"/>
    <n v="194"/>
    <n v="249320"/>
    <n v="0.80485286416926327"/>
    <n v="85"/>
    <s v="2026-05"/>
    <x v="0"/>
  </r>
  <r>
    <d v="2026-05-06T00:00:00"/>
    <s v="D駐車場（横浜元町） "/>
    <x v="3"/>
    <n v="143"/>
    <n v="161532"/>
    <n v="0.52822340045399219"/>
    <n v="63"/>
    <s v="2026-05"/>
    <x v="1"/>
  </r>
  <r>
    <d v="2026-05-07T00:00:00"/>
    <s v="B駐車場 (渋谷南)"/>
    <x v="1"/>
    <n v="173"/>
    <n v="217654"/>
    <n v="0.64091811561908207"/>
    <n v="79"/>
    <s v="2026-05"/>
    <x v="2"/>
  </r>
  <r>
    <d v="2026-05-08T00:00:00"/>
    <s v="B駐車場 (渋谷南)"/>
    <x v="1"/>
    <n v="186"/>
    <n v="212834"/>
    <n v="0.74296449966226008"/>
    <n v="81"/>
    <s v="2026-05"/>
    <x v="3"/>
  </r>
  <r>
    <d v="2026-05-09T00:00:00"/>
    <s v="A駐車場 (新宿駅前)"/>
    <x v="0"/>
    <n v="225"/>
    <n v="255844"/>
    <n v="0.82758266708336214"/>
    <n v="76"/>
    <s v="2026-05"/>
    <x v="4"/>
  </r>
  <r>
    <d v="2026-05-10T00:00:00"/>
    <s v="D駐車場（横浜元町）"/>
    <x v="3"/>
    <n v="136"/>
    <n v="170584"/>
    <n v="0.52873138877596704"/>
    <n v="68"/>
    <s v="2026-05"/>
    <x v="5"/>
  </r>
  <r>
    <d v="2026-05-11T00:00:00"/>
    <s v="B駐車場（渋谷南） "/>
    <x v="1"/>
    <n v="196"/>
    <n v="240756"/>
    <n v="0.75927793626055939"/>
    <n v="83"/>
    <s v="2026-05"/>
    <x v="6"/>
  </r>
  <r>
    <d v="2026-05-12T00:00:00"/>
    <s v="D駐車場 (横浜元町)"/>
    <x v="3"/>
    <n v="140"/>
    <n v="185105"/>
    <n v="0.56662856948720497"/>
    <n v="78"/>
    <s v="2026-05"/>
    <x v="0"/>
  </r>
  <r>
    <d v="2026-05-13T00:00:00"/>
    <s v="A駐車場（新宿駅前）"/>
    <x v="0"/>
    <n v="176"/>
    <n v="222528"/>
    <n v="0.66396992421748502"/>
    <n v="77"/>
    <s v="2026-05"/>
    <x v="1"/>
  </r>
  <r>
    <d v="2026-05-14T00:00:00"/>
    <s v="A駐車場（新宿駅前）"/>
    <x v="0"/>
    <n v="181"/>
    <n v="224300"/>
    <n v="0.64594009606010128"/>
    <n v="64"/>
    <s v="2026-05"/>
    <x v="2"/>
  </r>
  <r>
    <d v="2026-05-15T00:00:00"/>
    <s v="C駐車場 (池袋西口)"/>
    <x v="2"/>
    <n v="160"/>
    <n v="172115"/>
    <n v="0.63511731768863633"/>
    <n v="63"/>
    <s v="2026-05"/>
    <x v="3"/>
  </r>
  <r>
    <d v="2026-05-16T00:00:00"/>
    <s v="A駐車場（新宿駅前）"/>
    <x v="0"/>
    <n v="213"/>
    <n v="270620"/>
    <n v="0.78027518148396258"/>
    <n v="63"/>
    <s v="2026-05"/>
    <x v="4"/>
  </r>
  <r>
    <d v="2026-05-17T00:00:00"/>
    <s v="C駐車場（池袋西口）"/>
    <x v="2"/>
    <n v="144"/>
    <n v="167807"/>
    <n v="0.52649902447687624"/>
    <n v="68"/>
    <s v="2026-05"/>
    <x v="5"/>
  </r>
  <r>
    <d v="2026-05-18T00:00:00"/>
    <s v="C駐車場（池袋西口）"/>
    <x v="2"/>
    <n v="122"/>
    <n v="166593"/>
    <n v="0.50267795446142949"/>
    <n v="58"/>
    <s v="2026-05"/>
    <x v="6"/>
  </r>
  <r>
    <d v="2026-05-19T00:00:00"/>
    <s v="D駐車場（横浜元町）"/>
    <x v="3"/>
    <n v="132"/>
    <n v="144003"/>
    <n v="0.50135666510403287"/>
    <n v="59"/>
    <s v="2026-05"/>
    <x v="0"/>
  </r>
  <r>
    <d v="2026-05-20T00:00:00"/>
    <s v="B駐車場（渋谷南）"/>
    <x v="1"/>
    <n v="199"/>
    <n v="240409"/>
    <n v="0.72339042086680083"/>
    <n v="78"/>
    <s v="2026-05"/>
    <x v="1"/>
  </r>
  <r>
    <d v="2026-05-21T00:00:00"/>
    <s v="A駐車場（新宿駅前）"/>
    <x v="0"/>
    <n v="180"/>
    <n v="232828"/>
    <n v="0.73728646770369666"/>
    <n v="83"/>
    <s v="2026-05"/>
    <x v="2"/>
  </r>
  <r>
    <d v="2026-05-22T00:00:00"/>
    <s v="B駐車場（渋谷南） "/>
    <x v="1"/>
    <n v="190"/>
    <n v="227832"/>
    <n v="0.6553974140707266"/>
    <n v="82"/>
    <s v="2026-05"/>
    <x v="3"/>
  </r>
  <r>
    <d v="2026-05-23T00:00:00"/>
    <s v="D駐車場（横浜元町） "/>
    <x v="3"/>
    <n v="113"/>
    <n v="131661"/>
    <n v="0.44082525903526482"/>
    <n v="71"/>
    <s v="2026-05"/>
    <x v="4"/>
  </r>
  <r>
    <d v="2026-05-24T00:00:00"/>
    <s v="B駐車場 (渋谷南)"/>
    <x v="1"/>
    <n v="216"/>
    <n v="264497"/>
    <n v="0.80027393245260925"/>
    <n v="75"/>
    <s v="2026-05"/>
    <x v="5"/>
  </r>
  <r>
    <d v="2026-05-25T00:00:00"/>
    <s v="C駐車場（池袋西口）"/>
    <x v="2"/>
    <n v="139"/>
    <n v="166067"/>
    <n v="0.57157860947627315"/>
    <n v="56"/>
    <s v="2026-05"/>
    <x v="6"/>
  </r>
  <r>
    <d v="2026-05-26T00:00:00"/>
    <s v="B駐車場（渋谷南） "/>
    <x v="1"/>
    <n v="179"/>
    <n v="234188"/>
    <n v="0.74891290342216899"/>
    <n v="79"/>
    <s v="2026-05"/>
    <x v="0"/>
  </r>
  <r>
    <d v="2026-05-27T00:00:00"/>
    <s v="B駐車場 (渋谷南)"/>
    <x v="1"/>
    <n v="179"/>
    <n v="221031"/>
    <n v="0.68751091308606715"/>
    <n v="92"/>
    <s v="2026-05"/>
    <x v="1"/>
  </r>
  <r>
    <d v="2026-05-28T00:00:00"/>
    <s v="D駐車場 (横浜元町)"/>
    <x v="3"/>
    <n v="155"/>
    <n v="167039"/>
    <n v="0.57240598634494"/>
    <n v="71"/>
    <s v="2026-05"/>
    <x v="2"/>
  </r>
  <r>
    <d v="2026-05-29T00:00:00"/>
    <s v=" A駐車場（新宿駅前）"/>
    <x v="0"/>
    <n v="255"/>
    <n v="313240"/>
    <n v="0.98"/>
    <n v="68"/>
    <s v="2026-05"/>
    <x v="3"/>
  </r>
  <r>
    <d v="2026-05-30T00:00:00"/>
    <s v="D駐車場 (横浜元町)"/>
    <x v="3"/>
    <n v="187"/>
    <n v="232772"/>
    <n v="0.6750710573254094"/>
    <n v="57"/>
    <s v="2026-05"/>
    <x v="4"/>
  </r>
  <r>
    <d v="2026-05-31T00:00:00"/>
    <s v="B駐車場 (渋谷南)"/>
    <x v="1"/>
    <n v="212"/>
    <n v="279408"/>
    <n v="0.8665455300241991"/>
    <n v="69"/>
    <s v="2026-05"/>
    <x v="5"/>
  </r>
  <r>
    <d v="2026-06-01T00:00:00"/>
    <s v="B駐車場（渋谷南） "/>
    <x v="1"/>
    <n v="175"/>
    <n v="199767"/>
    <n v="0.70019928759667094"/>
    <n v="77"/>
    <s v="2026-06"/>
    <x v="6"/>
  </r>
  <r>
    <d v="2026-06-02T00:00:00"/>
    <s v="A駐車場 (新宿駅前)"/>
    <x v="0"/>
    <n v="134"/>
    <n v="144102"/>
    <n v="0.5283167810284356"/>
    <n v="65"/>
    <s v="2026-06"/>
    <x v="0"/>
  </r>
  <r>
    <d v="2026-06-03T00:00:00"/>
    <s v=" C駐車場（池袋西口）"/>
    <x v="2"/>
    <n v="97"/>
    <n v="114364"/>
    <n v="0.41167517466196019"/>
    <n v="54"/>
    <s v="2026-06"/>
    <x v="1"/>
  </r>
  <r>
    <d v="2026-06-04T00:00:00"/>
    <s v="D駐車場 (横浜元町)"/>
    <x v="3"/>
    <n v="136"/>
    <n v="165805"/>
    <n v="0.5443617595108875"/>
    <n v="57"/>
    <s v="2026-06"/>
    <x v="2"/>
  </r>
  <r>
    <d v="2026-06-05T00:00:00"/>
    <s v=" A駐車場（新宿駅前）"/>
    <x v="0"/>
    <n v="186"/>
    <n v="235322"/>
    <n v="0.74064995368442477"/>
    <n v="65"/>
    <s v="2026-06"/>
    <x v="3"/>
  </r>
  <r>
    <d v="2026-06-06T00:00:00"/>
    <s v=" C駐車場（池袋西口）"/>
    <x v="2"/>
    <n v="133"/>
    <n v="159626"/>
    <n v="0.55839217940227681"/>
    <n v="71"/>
    <s v="2026-06"/>
    <x v="4"/>
  </r>
  <r>
    <d v="2026-06-07T00:00:00"/>
    <s v="A駐車場（新宿駅前）"/>
    <x v="0"/>
    <n v="210"/>
    <n v="247497"/>
    <n v="0.80420121828350399"/>
    <n v="74"/>
    <s v="2026-06"/>
    <x v="5"/>
  </r>
  <r>
    <d v="2026-06-08T00:00:00"/>
    <s v="C駐車場 (池袋西口)"/>
    <x v="2"/>
    <n v="111"/>
    <n v="140503"/>
    <n v="0.45916143268167842"/>
    <n v="63"/>
    <s v="2026-06"/>
    <x v="6"/>
  </r>
  <r>
    <d v="2026-06-09T00:00:00"/>
    <s v=" A駐車場（新宿駅前）"/>
    <x v="0"/>
    <n v="157"/>
    <n v="192860"/>
    <n v="0.6258816767076455"/>
    <n v="82"/>
    <s v="2026-06"/>
    <x v="0"/>
  </r>
  <r>
    <d v="2026-06-10T00:00:00"/>
    <s v="B駐車場（渋谷南）"/>
    <x v="1"/>
    <n v="178"/>
    <n v="213445"/>
    <n v="0.68830426947436407"/>
    <n v="68"/>
    <s v="2026-06"/>
    <x v="1"/>
  </r>
  <r>
    <d v="2026-06-11T00:00:00"/>
    <s v="D駐車場 (横浜元町)"/>
    <x v="3"/>
    <n v="86"/>
    <n v="118368"/>
    <n v="0.32355660742725428"/>
    <n v="71"/>
    <s v="2026-06"/>
    <x v="2"/>
  </r>
  <r>
    <d v="2026-06-12T00:00:00"/>
    <s v="A駐車場 (新宿駅前)"/>
    <x v="0"/>
    <n v="205"/>
    <n v="237433"/>
    <n v="0.78193240013239307"/>
    <n v="71"/>
    <s v="2026-06"/>
    <x v="3"/>
  </r>
  <r>
    <d v="2026-06-13T00:00:00"/>
    <s v="B駐車場（渋谷南）"/>
    <x v="1"/>
    <n v="184"/>
    <n v="217820"/>
    <n v="0.73142767229167927"/>
    <n v="83"/>
    <s v="2026-06"/>
    <x v="4"/>
  </r>
  <r>
    <d v="2026-06-14T00:00:00"/>
    <s v=" A駐車場（新宿駅前）"/>
    <x v="0"/>
    <n v="191"/>
    <n v="242515"/>
    <n v="0.72806976116654509"/>
    <n v="61"/>
    <s v="2026-06"/>
    <x v="5"/>
  </r>
  <r>
    <d v="2026-06-15T00:00:00"/>
    <s v="C駐車場（池袋西口）"/>
    <x v="2"/>
    <n v="150"/>
    <n v="178162"/>
    <n v="0.5769383354368286"/>
    <n v="63"/>
    <s v="2026-06"/>
    <x v="6"/>
  </r>
  <r>
    <d v="2026-06-16T00:00:00"/>
    <s v="B駐車場（渋谷南）"/>
    <x v="1"/>
    <n v="174"/>
    <n v="209460"/>
    <n v="0.66456443861095127"/>
    <n v="67"/>
    <s v="2026-06"/>
    <x v="0"/>
  </r>
  <r>
    <d v="2026-06-17T00:00:00"/>
    <s v="A駐車場 (新宿駅前)"/>
    <x v="0"/>
    <n v="161"/>
    <n v="208539"/>
    <n v="0.62573984519859049"/>
    <n v="60"/>
    <s v="2026-06"/>
    <x v="1"/>
  </r>
  <r>
    <d v="2026-06-18T00:00:00"/>
    <s v=" A駐車場（新宿駅前）"/>
    <x v="0"/>
    <n v="188"/>
    <n v="231136"/>
    <n v="0.70618782990402884"/>
    <n v="73"/>
    <s v="2026-06"/>
    <x v="2"/>
  </r>
  <r>
    <d v="2026-06-19T00:00:00"/>
    <s v="B駐車場 (渋谷南)"/>
    <x v="1"/>
    <n v="165"/>
    <n v="188665"/>
    <n v="0.61834906188683147"/>
    <n v="89"/>
    <s v="2026-06"/>
    <x v="3"/>
  </r>
  <r>
    <d v="2026-06-20T00:00:00"/>
    <s v="D駐車場（横浜元町）"/>
    <x v="3"/>
    <n v="136"/>
    <n v="154180"/>
    <n v="0.51966101347126825"/>
    <n v="66"/>
    <s v="2026-06"/>
    <x v="4"/>
  </r>
  <r>
    <d v="2026-06-21T00:00:00"/>
    <s v="B駐車場 (渋谷南)"/>
    <x v="1"/>
    <n v="163"/>
    <n v="188950"/>
    <n v="0.67304437566483011"/>
    <n v="59"/>
    <s v="2026-06"/>
    <x v="5"/>
  </r>
  <r>
    <d v="2026-06-22T00:00:00"/>
    <s v=" C駐車場（池袋西口）"/>
    <x v="2"/>
    <n v="139"/>
    <n v="178199"/>
    <n v="0.5797956574058567"/>
    <n v="61"/>
    <s v="2026-06"/>
    <x v="6"/>
  </r>
  <r>
    <d v="2026-06-23T00:00:00"/>
    <s v="A駐車場（新宿駅前）"/>
    <x v="0"/>
    <n v="185"/>
    <n v="226114"/>
    <n v="0.74669724847574703"/>
    <n v="78"/>
    <s v="2026-06"/>
    <x v="0"/>
  </r>
  <r>
    <d v="2026-06-24T00:00:00"/>
    <s v=" A駐車場（新宿駅前）"/>
    <x v="0"/>
    <n v="176"/>
    <n v="209250"/>
    <n v="0.67598377154182709"/>
    <n v="77"/>
    <s v="2026-06"/>
    <x v="1"/>
  </r>
  <r>
    <d v="2026-06-25T00:00:00"/>
    <s v=" A駐車場（新宿駅前）"/>
    <x v="0"/>
    <n v="186"/>
    <n v="231283"/>
    <n v="0.74349951664037672"/>
    <n v="73"/>
    <s v="2026-06"/>
    <x v="2"/>
  </r>
  <r>
    <d v="2026-06-26T00:00:00"/>
    <s v=" A駐車場（新宿駅前）"/>
    <x v="0"/>
    <n v="199"/>
    <n v="222486"/>
    <n v="0.78445291768595826"/>
    <n v="72"/>
    <s v="2026-06"/>
    <x v="3"/>
  </r>
  <r>
    <d v="2026-06-27T00:00:00"/>
    <s v="D駐車場（横浜元町）"/>
    <x v="3"/>
    <n v="144"/>
    <n v="165838"/>
    <n v="0.55025741308711162"/>
    <n v="62"/>
    <s v="2026-06"/>
    <x v="4"/>
  </r>
  <r>
    <d v="2026-06-28T00:00:00"/>
    <s v="D駐車場（横浜元町） "/>
    <x v="3"/>
    <n v="114"/>
    <n v="141152"/>
    <n v="0.46593048603185999"/>
    <n v="59"/>
    <s v="2026-06"/>
    <x v="5"/>
  </r>
  <r>
    <d v="2026-06-29T00:00:00"/>
    <s v=" A駐車場（新宿駅前）"/>
    <x v="0"/>
    <n v="195"/>
    <n v="252191"/>
    <n v="0.81705601742253442"/>
    <n v="70"/>
    <s v="2026-06"/>
    <x v="6"/>
  </r>
  <r>
    <d v="2026-06-30T00:00:00"/>
    <s v="D駐車場（横浜元町） "/>
    <x v="3"/>
    <n v="127"/>
    <n v="159241"/>
    <n v="0.48312408935122109"/>
    <n v="71"/>
    <s v="2026-06"/>
    <x v="0"/>
  </r>
  <r>
    <d v="2026-07-01T00:00:00"/>
    <s v="A駐車場 (新宿駅前)"/>
    <x v="0"/>
    <n v="189"/>
    <n v="222184"/>
    <n v="0.77399312015029065"/>
    <n v="76"/>
    <s v="2026-07"/>
    <x v="1"/>
  </r>
  <r>
    <d v="2026-07-02T00:00:00"/>
    <s v=" C駐車場（池袋西口）"/>
    <x v="2"/>
    <n v="97"/>
    <n v="113236"/>
    <n v="0.34562358743117599"/>
    <n v="62"/>
    <s v="2026-07"/>
    <x v="2"/>
  </r>
  <r>
    <d v="2026-07-03T00:00:00"/>
    <s v="D駐車場 (横浜元町)"/>
    <x v="3"/>
    <n v="139"/>
    <n v="180686"/>
    <n v="0.57216579102909482"/>
    <n v="63"/>
    <s v="2026-07"/>
    <x v="3"/>
  </r>
  <r>
    <d v="2026-07-04T00:00:00"/>
    <s v="D駐車場（横浜元町） "/>
    <x v="3"/>
    <n v="150"/>
    <n v="156079"/>
    <n v="0.61321508658806989"/>
    <n v="74"/>
    <s v="2026-07"/>
    <x v="4"/>
  </r>
  <r>
    <d v="2026-07-05T00:00:00"/>
    <s v=" A駐車場（新宿駅前）"/>
    <x v="0"/>
    <n v="164"/>
    <n v="199419"/>
    <n v="0.58411982744802371"/>
    <n v="82"/>
    <s v="2026-07"/>
    <x v="5"/>
  </r>
  <r>
    <d v="2026-07-06T00:00:00"/>
    <s v="D駐車場（横浜元町）"/>
    <x v="3"/>
    <n v="136"/>
    <n v="166525"/>
    <n v="0.48342589852759882"/>
    <n v="90"/>
    <s v="2026-07"/>
    <x v="6"/>
  </r>
  <r>
    <d v="2026-07-07T00:00:00"/>
    <s v="D駐車場 (横浜元町)"/>
    <x v="3"/>
    <n v="140"/>
    <n v="167181"/>
    <n v="0.56692569737481779"/>
    <n v="57"/>
    <s v="2026-07"/>
    <x v="0"/>
  </r>
  <r>
    <d v="2026-07-08T00:00:00"/>
    <s v="D駐車場（横浜元町） "/>
    <x v="3"/>
    <n v="134"/>
    <n v="153280"/>
    <n v="0.53881100449481356"/>
    <n v="71"/>
    <s v="2026-07"/>
    <x v="1"/>
  </r>
  <r>
    <d v="2026-07-09T00:00:00"/>
    <s v=" C駐車場（池袋西口）"/>
    <x v="2"/>
    <n v="121"/>
    <n v="138220"/>
    <n v="0.46683508529015832"/>
    <n v="62"/>
    <s v="2026-07"/>
    <x v="2"/>
  </r>
  <r>
    <d v="2026-07-10T00:00:00"/>
    <s v="C駐車場（池袋西口）"/>
    <x v="2"/>
    <n v="121"/>
    <n v="140481"/>
    <n v="0.47527457259711192"/>
    <n v="71"/>
    <s v="2026-07"/>
    <x v="3"/>
  </r>
  <r>
    <d v="2026-07-11T00:00:00"/>
    <s v="B駐車場 (渋谷南)"/>
    <x v="1"/>
    <n v="195"/>
    <n v="267385"/>
    <n v="0.71975130301388757"/>
    <n v="83"/>
    <s v="2026-07"/>
    <x v="4"/>
  </r>
  <r>
    <d v="2026-07-12T00:00:00"/>
    <s v=" A駐車場（新宿駅前）"/>
    <x v="0"/>
    <n v="185"/>
    <n v="222000"/>
    <n v="0.67654019557762224"/>
    <n v="63"/>
    <s v="2026-07"/>
    <x v="5"/>
  </r>
  <r>
    <d v="2026-07-13T00:00:00"/>
    <s v="B駐車場 (渋谷南)"/>
    <x v="1"/>
    <n v="167"/>
    <n v="206828"/>
    <n v="0.63846400827026339"/>
    <n v="67"/>
    <s v="2026-07"/>
    <x v="6"/>
  </r>
  <r>
    <d v="2026-07-14T00:00:00"/>
    <s v="B駐車場 (渋谷南)"/>
    <x v="1"/>
    <n v="161"/>
    <n v="192718"/>
    <n v="0.6257532958208557"/>
    <n v="74"/>
    <s v="2026-07"/>
    <x v="0"/>
  </r>
  <r>
    <d v="2026-07-15T00:00:00"/>
    <s v="D駐車場（横浜元町） "/>
    <x v="3"/>
    <n v="156"/>
    <n v="179090"/>
    <n v="0.60217367650071374"/>
    <n v="63"/>
    <s v="2026-07"/>
    <x v="1"/>
  </r>
  <r>
    <d v="2026-07-16T00:00:00"/>
    <s v="B駐車場 (渋谷南)"/>
    <x v="1"/>
    <n v="180"/>
    <n v="235640"/>
    <n v="0.72401865765818851"/>
    <n v="71"/>
    <s v="2026-07"/>
    <x v="2"/>
  </r>
  <r>
    <d v="2026-07-17T00:00:00"/>
    <s v="B駐車場 (渋谷南)"/>
    <x v="1"/>
    <n v="171"/>
    <n v="230431"/>
    <n v="0.62709301471326639"/>
    <n v="61"/>
    <s v="2026-07"/>
    <x v="3"/>
  </r>
  <r>
    <d v="2026-07-18T00:00:00"/>
    <s v="C駐車場 (池袋西口)"/>
    <x v="2"/>
    <n v="122"/>
    <n v="125510"/>
    <n v="0.42644957854603671"/>
    <n v="63"/>
    <s v="2026-07"/>
    <x v="4"/>
  </r>
  <r>
    <d v="2026-07-19T00:00:00"/>
    <s v="D駐車場（横浜元町）"/>
    <x v="3"/>
    <n v="132"/>
    <n v="140813"/>
    <n v="0.52706028715615638"/>
    <n v="70"/>
    <s v="2026-07"/>
    <x v="5"/>
  </r>
  <r>
    <d v="2026-07-20T00:00:00"/>
    <s v="B駐車場（渋谷南）"/>
    <x v="1"/>
    <n v="190"/>
    <n v="233720"/>
    <n v="0.73835732270357279"/>
    <n v="80"/>
    <s v="2026-07"/>
    <x v="6"/>
  </r>
  <r>
    <d v="2026-07-21T00:00:00"/>
    <s v="C駐車場 (池袋西口)"/>
    <x v="2"/>
    <n v="123"/>
    <n v="141235"/>
    <n v="0.51185509832524756"/>
    <n v="58"/>
    <s v="2026-07"/>
    <x v="0"/>
  </r>
  <r>
    <d v="2026-07-22T00:00:00"/>
    <s v="B駐車場（渋谷南） "/>
    <x v="1"/>
    <n v="130"/>
    <n v="159730"/>
    <n v="0.48214060392134572"/>
    <n v="66"/>
    <s v="2026-07"/>
    <x v="1"/>
  </r>
  <r>
    <d v="2026-07-23T00:00:00"/>
    <s v="D駐車場 (横浜元町)"/>
    <x v="3"/>
    <n v="162"/>
    <n v="180742"/>
    <n v="0.60606088572754613"/>
    <n v="79"/>
    <s v="2026-07"/>
    <x v="2"/>
  </r>
  <r>
    <d v="2026-07-24T00:00:00"/>
    <s v="B駐車場 (渋谷南)"/>
    <x v="1"/>
    <n v="139"/>
    <n v="157991"/>
    <n v="0.57975355428752984"/>
    <n v="67"/>
    <s v="2026-07"/>
    <x v="3"/>
  </r>
  <r>
    <d v="2026-07-25T00:00:00"/>
    <s v="B駐車場 (渋谷南)"/>
    <x v="1"/>
    <n v="171"/>
    <n v="219252"/>
    <n v="0.64844560181920574"/>
    <n v="73"/>
    <s v="2026-07"/>
    <x v="4"/>
  </r>
  <r>
    <d v="2026-07-26T00:00:00"/>
    <s v="D駐車場（横浜元町）"/>
    <x v="3"/>
    <n v="137"/>
    <n v="162741"/>
    <n v="0.52507052763785611"/>
    <n v="74"/>
    <s v="2026-07"/>
    <x v="5"/>
  </r>
  <r>
    <d v="2026-07-27T00:00:00"/>
    <s v="D駐車場 (横浜元町)"/>
    <x v="3"/>
    <n v="111"/>
    <n v="123132"/>
    <n v="0.44449500763297101"/>
    <n v="75"/>
    <s v="2026-07"/>
    <x v="6"/>
  </r>
  <r>
    <d v="2026-07-28T00:00:00"/>
    <s v="D駐車場（横浜元町）"/>
    <x v="3"/>
    <n v="119"/>
    <n v="124536"/>
    <n v="0.50693015533588115"/>
    <n v="75"/>
    <s v="2026-07"/>
    <x v="0"/>
  </r>
  <r>
    <d v="2026-07-29T00:00:00"/>
    <s v="B駐車場 (渋谷南)"/>
    <x v="1"/>
    <n v="141"/>
    <n v="182345"/>
    <n v="0.56304001809980031"/>
    <n v="81"/>
    <s v="2026-07"/>
    <x v="1"/>
  </r>
  <r>
    <d v="2026-07-30T00:00:00"/>
    <s v="C駐車場（池袋西口）"/>
    <x v="2"/>
    <n v="109"/>
    <n v="136174"/>
    <n v="0.41994890286334352"/>
    <n v="58"/>
    <s v="2026-07"/>
    <x v="2"/>
  </r>
  <r>
    <d v="2026-07-31T00:00:00"/>
    <s v="D駐車場 (横浜元町)"/>
    <x v="3"/>
    <n v="114"/>
    <n v="150554"/>
    <n v="0.46128112029865809"/>
    <n v="67"/>
    <s v="2026-07"/>
    <x v="3"/>
  </r>
  <r>
    <d v="2026-08-01T00:00:00"/>
    <s v="D駐車場（横浜元町）"/>
    <x v="3"/>
    <n v="159"/>
    <n v="171464"/>
    <n v="0.57865123480047354"/>
    <n v="76"/>
    <s v="2026-08"/>
    <x v="4"/>
  </r>
  <r>
    <d v="2026-08-02T00:00:00"/>
    <s v="D駐車場（横浜元町）"/>
    <x v="3"/>
    <n v="106"/>
    <n v="124853"/>
    <n v="0.38985348356148342"/>
    <n v="64"/>
    <s v="2026-08"/>
    <x v="5"/>
  </r>
  <r>
    <d v="2026-08-03T00:00:00"/>
    <s v="A駐車場（新宿駅前）"/>
    <x v="0"/>
    <n v="155"/>
    <n v="183191"/>
    <n v="0.57950930464419537"/>
    <n v="67"/>
    <s v="2026-08"/>
    <x v="6"/>
  </r>
  <r>
    <d v="2026-08-04T00:00:00"/>
    <s v="D駐車場 (横浜元町)"/>
    <x v="3"/>
    <n v="86"/>
    <n v="77974"/>
    <n v="0.33037416610140741"/>
    <n v="65"/>
    <s v="2026-08"/>
    <x v="0"/>
  </r>
  <r>
    <d v="2026-08-05T00:00:00"/>
    <s v=" A駐車場（新宿駅前）"/>
    <x v="0"/>
    <n v="168"/>
    <n v="207054"/>
    <n v="0.6584210024661612"/>
    <n v="62"/>
    <s v="2026-08"/>
    <x v="1"/>
  </r>
  <r>
    <d v="2026-08-06T00:00:00"/>
    <s v="D駐車場 (横浜元町)"/>
    <x v="3"/>
    <n v="94"/>
    <n v="113673"/>
    <n v="0.34744819471823529"/>
    <n v="77"/>
    <s v="2026-08"/>
    <x v="2"/>
  </r>
  <r>
    <d v="2026-08-07T00:00:00"/>
    <s v=" A駐車場（新宿駅前）"/>
    <x v="0"/>
    <n v="163"/>
    <n v="182942"/>
    <n v="0.62279588562232979"/>
    <n v="69"/>
    <s v="2026-08"/>
    <x v="3"/>
  </r>
  <r>
    <d v="2026-08-08T00:00:00"/>
    <s v=" A駐車場（新宿駅前）"/>
    <x v="0"/>
    <n v="167"/>
    <n v="230636"/>
    <n v="0.5945013620728985"/>
    <n v="82"/>
    <s v="2026-08"/>
    <x v="4"/>
  </r>
  <r>
    <d v="2026-08-09T00:00:00"/>
    <s v="B駐車場（渋谷南） "/>
    <x v="1"/>
    <n v="181"/>
    <n v="233472"/>
    <n v="0.70907811752260863"/>
    <n v="68"/>
    <s v="2026-08"/>
    <x v="5"/>
  </r>
  <r>
    <d v="2026-08-10T00:00:00"/>
    <s v="A駐車場 (新宿駅前)"/>
    <x v="0"/>
    <n v="140"/>
    <n v="165760"/>
    <n v="0.54097432240860177"/>
    <n v="72"/>
    <s v="2026-08"/>
    <x v="6"/>
  </r>
  <r>
    <d v="2026-08-11T00:00:00"/>
    <s v="C駐車場（池袋西口）"/>
    <x v="2"/>
    <n v="122"/>
    <n v="164298"/>
    <n v="0.46559438969177908"/>
    <n v="62"/>
    <s v="2026-08"/>
    <x v="0"/>
  </r>
  <r>
    <d v="2026-08-12T00:00:00"/>
    <s v="B駐車場 (渋谷南)"/>
    <x v="1"/>
    <n v="146"/>
    <n v="174901"/>
    <n v="0.600766330198373"/>
    <n v="85"/>
    <s v="2026-08"/>
    <x v="1"/>
  </r>
  <r>
    <d v="2026-08-13T00:00:00"/>
    <s v=" A駐車場（新宿駅前）"/>
    <x v="0"/>
    <n v="159"/>
    <n v="198316"/>
    <n v="0.65744593535796259"/>
    <n v="79"/>
    <s v="2026-0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0B81F-1081-466D-B660-46886F594BCF}" name="ピボットテーブル2" cacheId="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 chartFormat="2" rowHeaderCaption="駐車場名">
  <location ref="A48:I54" firstHeaderRow="1" firstDataRow="2" firstDataCol="1"/>
  <pivotFields count="9">
    <pivotField numFmtId="176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77" showAll="0"/>
    <pivotField dataField="1" numFmtId="178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平均稼働率" fld="5" subtotal="average" baseField="2" baseItem="0" numFmtId="178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rkingData" displayName="tblParkingData" ref="A1:J501">
  <autoFilter ref="A1:J501" xr:uid="{00000000-0009-0000-0100-000001000000}"/>
  <tableColumns count="10">
    <tableColumn id="1" xr3:uid="{00000000-0010-0000-0000-000001000000}" name="日付"/>
    <tableColumn id="2" xr3:uid="{00000000-0010-0000-0000-000002000000}" name="曜日"/>
    <tableColumn id="3" xr3:uid="{00000000-0010-0000-0000-000003000000}" name="駐車場名（原文）"/>
    <tableColumn id="4" xr3:uid="{00000000-0010-0000-0000-000004000000}" name="駐車場名（クレンジング前）"/>
    <tableColumn id="5" xr3:uid="{00000000-0010-0000-0000-000005000000}" name="時間帯"/>
    <tableColumn id="6" xr3:uid="{00000000-0010-0000-0000-000006000000}" name="利用台数"/>
    <tableColumn id="7" xr3:uid="{00000000-0010-0000-0000-000007000000}" name="売上（円）"/>
    <tableColumn id="8" xr3:uid="{00000000-0010-0000-0000-000008000000}" name="稼働率"/>
    <tableColumn id="9" xr3:uid="{00000000-0010-0000-0000-000009000000}" name="平均利用時間（分）"/>
    <tableColumn id="10" xr3:uid="{00000000-0010-0000-0000-00000A000000}" name="天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workbookViewId="0">
      <pane ySplit="1" topLeftCell="A2" activePane="bottomLeft" state="frozen"/>
      <selection pane="bottomLeft" activeCell="B18" sqref="B18"/>
    </sheetView>
  </sheetViews>
  <sheetFormatPr defaultRowHeight="13.5" x14ac:dyDescent="0.15"/>
  <cols>
    <col min="1" max="1" width="45.625" bestFit="1" customWidth="1"/>
    <col min="2" max="2" width="105" customWidth="1"/>
  </cols>
  <sheetData>
    <row r="1" spans="1:2" ht="18.75" x14ac:dyDescent="0.15">
      <c r="A1" s="1" t="s">
        <v>0</v>
      </c>
      <c r="B1" s="2" t="s">
        <v>131</v>
      </c>
    </row>
    <row r="2" spans="1:2" ht="27" x14ac:dyDescent="0.15">
      <c r="A2" s="3" t="s">
        <v>1</v>
      </c>
      <c r="B2" s="4" t="s">
        <v>132</v>
      </c>
    </row>
    <row r="3" spans="1:2" x14ac:dyDescent="0.15">
      <c r="A3" s="3" t="s">
        <v>2</v>
      </c>
      <c r="B3" s="4" t="s">
        <v>3</v>
      </c>
    </row>
    <row r="4" spans="1:2" x14ac:dyDescent="0.15">
      <c r="A4" s="3" t="s">
        <v>4</v>
      </c>
      <c r="B4" s="4" t="s">
        <v>5</v>
      </c>
    </row>
    <row r="5" spans="1:2" x14ac:dyDescent="0.15">
      <c r="A5" s="3" t="s">
        <v>6</v>
      </c>
      <c r="B5" s="4" t="s">
        <v>7</v>
      </c>
    </row>
    <row r="6" spans="1:2" x14ac:dyDescent="0.15">
      <c r="A6" s="3" t="s">
        <v>8</v>
      </c>
      <c r="B6" s="4" t="s">
        <v>9</v>
      </c>
    </row>
    <row r="7" spans="1:2" x14ac:dyDescent="0.15">
      <c r="A7" s="3" t="s">
        <v>10</v>
      </c>
      <c r="B7" s="4" t="s">
        <v>11</v>
      </c>
    </row>
    <row r="8" spans="1:2" x14ac:dyDescent="0.15">
      <c r="A8" s="3" t="s">
        <v>12</v>
      </c>
      <c r="B8" s="4" t="s">
        <v>13</v>
      </c>
    </row>
    <row r="9" spans="1:2" x14ac:dyDescent="0.15">
      <c r="A9" s="3" t="s">
        <v>14</v>
      </c>
      <c r="B9" s="4" t="s">
        <v>147</v>
      </c>
    </row>
    <row r="10" spans="1:2" x14ac:dyDescent="0.15">
      <c r="A10" s="3" t="s">
        <v>15</v>
      </c>
      <c r="B10" s="4" t="s">
        <v>16</v>
      </c>
    </row>
    <row r="11" spans="1:2" ht="27" x14ac:dyDescent="0.15">
      <c r="A11" s="3" t="s">
        <v>17</v>
      </c>
      <c r="B11" s="4" t="s">
        <v>150</v>
      </c>
    </row>
    <row r="12" spans="1:2" x14ac:dyDescent="0.15">
      <c r="A12" s="3" t="s">
        <v>18</v>
      </c>
      <c r="B12" s="4" t="s">
        <v>130</v>
      </c>
    </row>
  </sheetData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0" customWidth="1"/>
    <col min="3" max="4" width="26" customWidth="1"/>
    <col min="5" max="6" width="12" customWidth="1"/>
    <col min="7" max="7" width="14" customWidth="1"/>
    <col min="8" max="8" width="12" customWidth="1"/>
    <col min="9" max="9" width="18" customWidth="1"/>
    <col min="10" max="10" width="10" customWidth="1"/>
  </cols>
  <sheetData>
    <row r="1" spans="1:10" x14ac:dyDescent="0.1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</row>
    <row r="2" spans="1:10" x14ac:dyDescent="0.15">
      <c r="A2" s="13">
        <v>45748</v>
      </c>
      <c r="B2" s="6" t="s">
        <v>29</v>
      </c>
      <c r="C2" s="6" t="s">
        <v>30</v>
      </c>
      <c r="D2" s="6" t="s">
        <v>30</v>
      </c>
      <c r="E2" s="6" t="s">
        <v>31</v>
      </c>
      <c r="F2" s="6">
        <v>210</v>
      </c>
      <c r="G2" s="14">
        <v>257706</v>
      </c>
      <c r="H2" s="15">
        <v>0.81726827292185111</v>
      </c>
      <c r="I2" s="6">
        <v>84</v>
      </c>
      <c r="J2" s="6" t="s">
        <v>32</v>
      </c>
    </row>
    <row r="3" spans="1:10" x14ac:dyDescent="0.15">
      <c r="A3" s="13">
        <v>45749</v>
      </c>
      <c r="B3" s="6" t="s">
        <v>33</v>
      </c>
      <c r="C3" s="6" t="s">
        <v>30</v>
      </c>
      <c r="D3" s="6" t="s">
        <v>30</v>
      </c>
      <c r="E3" s="6" t="s">
        <v>31</v>
      </c>
      <c r="F3" s="6">
        <v>208</v>
      </c>
      <c r="G3" s="14">
        <v>255328</v>
      </c>
      <c r="H3" s="15">
        <v>0.79188724987066927</v>
      </c>
      <c r="I3" s="6">
        <v>71</v>
      </c>
      <c r="J3" s="6" t="s">
        <v>32</v>
      </c>
    </row>
    <row r="4" spans="1:10" x14ac:dyDescent="0.15">
      <c r="A4" s="13">
        <v>45750</v>
      </c>
      <c r="B4" s="6" t="s">
        <v>34</v>
      </c>
      <c r="C4" s="6" t="s">
        <v>35</v>
      </c>
      <c r="D4" s="6" t="s">
        <v>35</v>
      </c>
      <c r="E4" s="6" t="s">
        <v>31</v>
      </c>
      <c r="F4" s="6">
        <v>176</v>
      </c>
      <c r="G4" s="14">
        <v>221279</v>
      </c>
      <c r="H4" s="15">
        <v>0.71714088361652606</v>
      </c>
      <c r="I4" s="6">
        <v>68</v>
      </c>
      <c r="J4" s="6" t="s">
        <v>32</v>
      </c>
    </row>
    <row r="5" spans="1:10" x14ac:dyDescent="0.15">
      <c r="A5" s="13">
        <v>45751</v>
      </c>
      <c r="B5" s="6" t="s">
        <v>36</v>
      </c>
      <c r="C5" s="6" t="s">
        <v>37</v>
      </c>
      <c r="D5" s="6" t="s">
        <v>37</v>
      </c>
      <c r="E5" s="6" t="s">
        <v>38</v>
      </c>
      <c r="F5" s="6">
        <v>137</v>
      </c>
      <c r="G5" s="14">
        <v>171258</v>
      </c>
      <c r="H5" s="15">
        <v>0.52829944871258472</v>
      </c>
      <c r="I5" s="6">
        <v>64</v>
      </c>
      <c r="J5" s="6" t="s">
        <v>39</v>
      </c>
    </row>
    <row r="6" spans="1:10" x14ac:dyDescent="0.15">
      <c r="A6" s="13">
        <v>45752</v>
      </c>
      <c r="B6" s="6" t="s">
        <v>40</v>
      </c>
      <c r="C6" s="6" t="s">
        <v>37</v>
      </c>
      <c r="D6" s="6" t="s">
        <v>37</v>
      </c>
      <c r="E6" s="6" t="s">
        <v>38</v>
      </c>
      <c r="F6" s="6">
        <v>125</v>
      </c>
      <c r="G6" s="14">
        <v>135544</v>
      </c>
      <c r="H6" s="15">
        <v>0.47525878261727422</v>
      </c>
      <c r="I6" s="6">
        <v>58</v>
      </c>
      <c r="J6" s="6" t="s">
        <v>39</v>
      </c>
    </row>
    <row r="7" spans="1:10" x14ac:dyDescent="0.15">
      <c r="A7" s="13">
        <v>45753</v>
      </c>
      <c r="B7" s="6" t="s">
        <v>41</v>
      </c>
      <c r="C7" s="6" t="s">
        <v>37</v>
      </c>
      <c r="D7" s="6" t="s">
        <v>37</v>
      </c>
      <c r="E7" s="6" t="s">
        <v>42</v>
      </c>
      <c r="F7" s="6">
        <v>126</v>
      </c>
      <c r="G7" s="14">
        <v>141186</v>
      </c>
      <c r="H7" s="15">
        <v>0.50875188056610388</v>
      </c>
      <c r="I7" s="6">
        <v>69</v>
      </c>
      <c r="J7" s="6" t="s">
        <v>43</v>
      </c>
    </row>
    <row r="8" spans="1:10" x14ac:dyDescent="0.15">
      <c r="A8" s="13">
        <v>45754</v>
      </c>
      <c r="B8" s="6" t="s">
        <v>44</v>
      </c>
      <c r="C8" s="6" t="s">
        <v>45</v>
      </c>
      <c r="D8" s="6" t="s">
        <v>45</v>
      </c>
      <c r="E8" s="6" t="s">
        <v>38</v>
      </c>
      <c r="F8" s="6">
        <v>181</v>
      </c>
      <c r="G8" s="14">
        <v>229841</v>
      </c>
      <c r="H8" s="15">
        <v>0.70666926302802424</v>
      </c>
      <c r="I8" s="6">
        <v>67</v>
      </c>
      <c r="J8" s="6" t="s">
        <v>43</v>
      </c>
    </row>
    <row r="9" spans="1:10" x14ac:dyDescent="0.15">
      <c r="A9" s="13">
        <v>45755</v>
      </c>
      <c r="B9" s="6" t="s">
        <v>29</v>
      </c>
      <c r="C9" s="6" t="s">
        <v>46</v>
      </c>
      <c r="D9" s="6" t="s">
        <v>46</v>
      </c>
      <c r="E9" s="6" t="s">
        <v>42</v>
      </c>
      <c r="F9" s="6">
        <v>187</v>
      </c>
      <c r="G9" s="14">
        <v>223484</v>
      </c>
      <c r="H9" s="15">
        <v>0.71649664311216366</v>
      </c>
      <c r="I9" s="6">
        <v>67</v>
      </c>
      <c r="J9" s="6" t="s">
        <v>39</v>
      </c>
    </row>
    <row r="10" spans="1:10" x14ac:dyDescent="0.15">
      <c r="A10" s="13">
        <v>45756</v>
      </c>
      <c r="B10" s="6" t="s">
        <v>33</v>
      </c>
      <c r="C10" s="6" t="s">
        <v>47</v>
      </c>
      <c r="D10" s="6" t="s">
        <v>47</v>
      </c>
      <c r="E10" s="6" t="s">
        <v>38</v>
      </c>
      <c r="F10" s="6">
        <v>157</v>
      </c>
      <c r="G10" s="14">
        <v>169505</v>
      </c>
      <c r="H10" s="15">
        <v>0.60501975007370801</v>
      </c>
      <c r="I10" s="6">
        <v>70</v>
      </c>
      <c r="J10" s="6" t="s">
        <v>43</v>
      </c>
    </row>
    <row r="11" spans="1:10" x14ac:dyDescent="0.15">
      <c r="A11" s="13">
        <v>45757</v>
      </c>
      <c r="B11" s="6" t="s">
        <v>34</v>
      </c>
      <c r="C11" s="6" t="s">
        <v>46</v>
      </c>
      <c r="D11" s="6" t="s">
        <v>46</v>
      </c>
      <c r="E11" s="6" t="s">
        <v>31</v>
      </c>
      <c r="F11" s="6">
        <v>206</v>
      </c>
      <c r="G11" s="14">
        <v>279176</v>
      </c>
      <c r="H11" s="15">
        <v>0.81400656417975203</v>
      </c>
      <c r="I11" s="6">
        <v>67</v>
      </c>
      <c r="J11" s="6" t="s">
        <v>39</v>
      </c>
    </row>
    <row r="12" spans="1:10" x14ac:dyDescent="0.15">
      <c r="A12" s="13">
        <v>45758</v>
      </c>
      <c r="B12" s="6" t="s">
        <v>36</v>
      </c>
      <c r="C12" s="6" t="s">
        <v>35</v>
      </c>
      <c r="D12" s="6" t="s">
        <v>35</v>
      </c>
      <c r="E12" s="6" t="s">
        <v>31</v>
      </c>
      <c r="F12" s="6">
        <v>188</v>
      </c>
      <c r="G12" s="14">
        <v>242111</v>
      </c>
      <c r="H12" s="15">
        <v>0.69775571840412387</v>
      </c>
      <c r="I12" s="6">
        <v>75</v>
      </c>
      <c r="J12" s="6" t="s">
        <v>39</v>
      </c>
    </row>
    <row r="13" spans="1:10" x14ac:dyDescent="0.15">
      <c r="A13" s="13">
        <v>45759</v>
      </c>
      <c r="B13" s="6" t="s">
        <v>40</v>
      </c>
      <c r="C13" s="6" t="s">
        <v>37</v>
      </c>
      <c r="D13" s="6" t="s">
        <v>37</v>
      </c>
      <c r="E13" s="6" t="s">
        <v>42</v>
      </c>
      <c r="F13" s="6">
        <v>162</v>
      </c>
      <c r="G13" s="14">
        <v>233601</v>
      </c>
      <c r="H13" s="15">
        <v>0.60782322807819134</v>
      </c>
      <c r="I13" s="6">
        <v>67</v>
      </c>
      <c r="J13" s="6" t="s">
        <v>32</v>
      </c>
    </row>
    <row r="14" spans="1:10" x14ac:dyDescent="0.15">
      <c r="A14" s="13">
        <v>45760</v>
      </c>
      <c r="B14" s="6" t="s">
        <v>41</v>
      </c>
      <c r="C14" s="6" t="s">
        <v>35</v>
      </c>
      <c r="D14" s="6" t="s">
        <v>35</v>
      </c>
      <c r="E14" s="6" t="s">
        <v>38</v>
      </c>
      <c r="F14" s="6">
        <v>210</v>
      </c>
      <c r="G14" s="14">
        <v>248268</v>
      </c>
      <c r="H14" s="15">
        <v>0.83931079369436856</v>
      </c>
      <c r="I14" s="6">
        <v>81</v>
      </c>
      <c r="J14" s="6" t="s">
        <v>39</v>
      </c>
    </row>
    <row r="15" spans="1:10" x14ac:dyDescent="0.15">
      <c r="A15" s="13">
        <v>45761</v>
      </c>
      <c r="B15" s="6" t="s">
        <v>44</v>
      </c>
      <c r="C15" s="6" t="s">
        <v>45</v>
      </c>
      <c r="D15" s="6" t="s">
        <v>45</v>
      </c>
      <c r="E15" s="6" t="s">
        <v>38</v>
      </c>
      <c r="F15" s="6">
        <v>191</v>
      </c>
      <c r="G15" s="14">
        <v>227659</v>
      </c>
      <c r="H15" s="15">
        <v>0.77833506641878591</v>
      </c>
      <c r="I15" s="6">
        <v>63</v>
      </c>
      <c r="J15" s="6" t="s">
        <v>43</v>
      </c>
    </row>
    <row r="16" spans="1:10" x14ac:dyDescent="0.15">
      <c r="A16" s="13">
        <v>45762</v>
      </c>
      <c r="B16" s="6" t="s">
        <v>29</v>
      </c>
      <c r="C16" s="6" t="s">
        <v>48</v>
      </c>
      <c r="D16" s="6" t="s">
        <v>48</v>
      </c>
      <c r="E16" s="6" t="s">
        <v>49</v>
      </c>
      <c r="F16" s="6">
        <v>134</v>
      </c>
      <c r="G16" s="14">
        <v>157590</v>
      </c>
      <c r="H16" s="15">
        <v>0.5056464621476654</v>
      </c>
      <c r="I16" s="6">
        <v>57</v>
      </c>
      <c r="J16" s="6" t="s">
        <v>32</v>
      </c>
    </row>
    <row r="17" spans="1:10" x14ac:dyDescent="0.15">
      <c r="A17" s="13">
        <v>45763</v>
      </c>
      <c r="B17" s="6" t="s">
        <v>33</v>
      </c>
      <c r="C17" s="6" t="s">
        <v>50</v>
      </c>
      <c r="D17" s="6" t="s">
        <v>50</v>
      </c>
      <c r="E17" s="6" t="s">
        <v>49</v>
      </c>
      <c r="F17" s="6">
        <v>151</v>
      </c>
      <c r="G17" s="14">
        <v>167709</v>
      </c>
      <c r="H17" s="15">
        <v>0.59145614131077062</v>
      </c>
      <c r="I17" s="6">
        <v>75</v>
      </c>
      <c r="J17" s="6" t="s">
        <v>32</v>
      </c>
    </row>
    <row r="18" spans="1:10" x14ac:dyDescent="0.15">
      <c r="A18" s="13">
        <v>45764</v>
      </c>
      <c r="B18" s="6" t="s">
        <v>34</v>
      </c>
      <c r="C18" s="6" t="s">
        <v>37</v>
      </c>
      <c r="D18" s="6" t="s">
        <v>37</v>
      </c>
      <c r="E18" s="6" t="s">
        <v>49</v>
      </c>
      <c r="F18" s="6">
        <v>130</v>
      </c>
      <c r="G18" s="14">
        <v>155118</v>
      </c>
      <c r="H18" s="15">
        <v>0.43371959363126877</v>
      </c>
      <c r="I18" s="6">
        <v>85</v>
      </c>
      <c r="J18" s="6" t="s">
        <v>43</v>
      </c>
    </row>
    <row r="19" spans="1:10" x14ac:dyDescent="0.15">
      <c r="A19" s="13">
        <v>45765</v>
      </c>
      <c r="B19" s="6" t="s">
        <v>36</v>
      </c>
      <c r="C19" s="6" t="s">
        <v>35</v>
      </c>
      <c r="D19" s="6" t="s">
        <v>35</v>
      </c>
      <c r="E19" s="6" t="s">
        <v>42</v>
      </c>
      <c r="F19" s="6">
        <v>220</v>
      </c>
      <c r="G19" s="14">
        <v>252629</v>
      </c>
      <c r="H19" s="15">
        <v>0.88082553494715499</v>
      </c>
      <c r="I19" s="6">
        <v>82</v>
      </c>
      <c r="J19" s="6" t="s">
        <v>32</v>
      </c>
    </row>
    <row r="20" spans="1:10" x14ac:dyDescent="0.15">
      <c r="A20" s="13">
        <v>45766</v>
      </c>
      <c r="B20" s="6" t="s">
        <v>40</v>
      </c>
      <c r="C20" s="6" t="s">
        <v>51</v>
      </c>
      <c r="D20" s="6" t="s">
        <v>51</v>
      </c>
      <c r="E20" s="6" t="s">
        <v>42</v>
      </c>
      <c r="F20" s="6">
        <v>181</v>
      </c>
      <c r="G20" s="14">
        <v>199918</v>
      </c>
      <c r="H20" s="15">
        <v>0.71794625240179566</v>
      </c>
      <c r="I20" s="6">
        <v>86</v>
      </c>
      <c r="J20" s="6" t="s">
        <v>39</v>
      </c>
    </row>
    <row r="21" spans="1:10" x14ac:dyDescent="0.15">
      <c r="A21" s="13">
        <v>45767</v>
      </c>
      <c r="B21" s="6" t="s">
        <v>41</v>
      </c>
      <c r="C21" s="6" t="s">
        <v>37</v>
      </c>
      <c r="D21" s="6" t="s">
        <v>37</v>
      </c>
      <c r="E21" s="6" t="s">
        <v>42</v>
      </c>
      <c r="F21" s="6">
        <v>128</v>
      </c>
      <c r="G21" s="14">
        <v>162938</v>
      </c>
      <c r="H21" s="15">
        <v>0.43977142340257391</v>
      </c>
      <c r="I21" s="6">
        <v>80</v>
      </c>
      <c r="J21" s="6" t="s">
        <v>39</v>
      </c>
    </row>
    <row r="22" spans="1:10" x14ac:dyDescent="0.15">
      <c r="A22" s="13">
        <v>45768</v>
      </c>
      <c r="B22" s="6" t="s">
        <v>44</v>
      </c>
      <c r="C22" s="6" t="s">
        <v>51</v>
      </c>
      <c r="D22" s="6" t="s">
        <v>51</v>
      </c>
      <c r="E22" s="6" t="s">
        <v>49</v>
      </c>
      <c r="F22" s="6">
        <v>192</v>
      </c>
      <c r="G22" s="14">
        <v>239048</v>
      </c>
      <c r="H22" s="15">
        <v>0.69447460879298784</v>
      </c>
      <c r="I22" s="6">
        <v>74</v>
      </c>
      <c r="J22" s="6" t="s">
        <v>32</v>
      </c>
    </row>
    <row r="23" spans="1:10" x14ac:dyDescent="0.15">
      <c r="A23" s="13">
        <v>45769</v>
      </c>
      <c r="B23" s="6" t="s">
        <v>29</v>
      </c>
      <c r="C23" s="6" t="s">
        <v>35</v>
      </c>
      <c r="D23" s="6" t="s">
        <v>35</v>
      </c>
      <c r="E23" s="6" t="s">
        <v>31</v>
      </c>
      <c r="F23" s="6">
        <v>193</v>
      </c>
      <c r="G23" s="14">
        <v>240565</v>
      </c>
      <c r="H23" s="15">
        <v>0.72194866446640715</v>
      </c>
      <c r="I23" s="6">
        <v>86</v>
      </c>
      <c r="J23" s="6" t="s">
        <v>43</v>
      </c>
    </row>
    <row r="24" spans="1:10" x14ac:dyDescent="0.15">
      <c r="A24" s="13">
        <v>45770</v>
      </c>
      <c r="B24" s="6" t="s">
        <v>33</v>
      </c>
      <c r="C24" s="6" t="s">
        <v>52</v>
      </c>
      <c r="D24" s="6" t="s">
        <v>52</v>
      </c>
      <c r="E24" s="6" t="s">
        <v>31</v>
      </c>
      <c r="F24" s="6">
        <v>161</v>
      </c>
      <c r="G24" s="14">
        <v>194945</v>
      </c>
      <c r="H24" s="15">
        <v>0.6531294783149667</v>
      </c>
      <c r="I24" s="6">
        <v>70</v>
      </c>
      <c r="J24" s="6" t="s">
        <v>32</v>
      </c>
    </row>
    <row r="25" spans="1:10" x14ac:dyDescent="0.15">
      <c r="A25" s="13">
        <v>45771</v>
      </c>
      <c r="B25" s="6" t="s">
        <v>34</v>
      </c>
      <c r="C25" s="6" t="s">
        <v>35</v>
      </c>
      <c r="D25" s="6" t="s">
        <v>35</v>
      </c>
      <c r="E25" s="6" t="s">
        <v>49</v>
      </c>
      <c r="F25" s="6">
        <v>210</v>
      </c>
      <c r="G25" s="14">
        <v>270232</v>
      </c>
      <c r="H25" s="15">
        <v>0.78574256724186331</v>
      </c>
      <c r="I25" s="6">
        <v>84</v>
      </c>
      <c r="J25" s="6" t="s">
        <v>32</v>
      </c>
    </row>
    <row r="26" spans="1:10" x14ac:dyDescent="0.15">
      <c r="A26" s="13">
        <v>45772</v>
      </c>
      <c r="B26" s="6" t="s">
        <v>36</v>
      </c>
      <c r="C26" s="6" t="s">
        <v>30</v>
      </c>
      <c r="D26" s="6" t="s">
        <v>30</v>
      </c>
      <c r="E26" s="6" t="s">
        <v>31</v>
      </c>
      <c r="F26" s="6">
        <v>180</v>
      </c>
      <c r="G26" s="14">
        <v>225875</v>
      </c>
      <c r="H26" s="15">
        <v>0.70939095683442555</v>
      </c>
      <c r="I26" s="6">
        <v>67</v>
      </c>
      <c r="J26" s="6" t="s">
        <v>32</v>
      </c>
    </row>
    <row r="27" spans="1:10" x14ac:dyDescent="0.15">
      <c r="A27" s="13">
        <v>45773</v>
      </c>
      <c r="B27" s="6" t="s">
        <v>40</v>
      </c>
      <c r="C27" s="6" t="s">
        <v>35</v>
      </c>
      <c r="D27" s="6" t="s">
        <v>35</v>
      </c>
      <c r="E27" s="6" t="s">
        <v>49</v>
      </c>
      <c r="F27" s="6">
        <v>190</v>
      </c>
      <c r="G27" s="14">
        <v>240170</v>
      </c>
      <c r="H27" s="15">
        <v>0.73086568203607649</v>
      </c>
      <c r="I27" s="6">
        <v>96</v>
      </c>
      <c r="J27" s="6" t="s">
        <v>39</v>
      </c>
    </row>
    <row r="28" spans="1:10" x14ac:dyDescent="0.15">
      <c r="A28" s="13">
        <v>45774</v>
      </c>
      <c r="B28" s="6" t="s">
        <v>41</v>
      </c>
      <c r="C28" s="6" t="s">
        <v>45</v>
      </c>
      <c r="D28" s="6" t="s">
        <v>45</v>
      </c>
      <c r="E28" s="6" t="s">
        <v>31</v>
      </c>
      <c r="F28" s="6">
        <v>196</v>
      </c>
      <c r="G28" s="14">
        <v>226894</v>
      </c>
      <c r="H28" s="15">
        <v>0.76926707736274291</v>
      </c>
      <c r="I28" s="6">
        <v>72</v>
      </c>
      <c r="J28" s="6" t="s">
        <v>32</v>
      </c>
    </row>
    <row r="29" spans="1:10" x14ac:dyDescent="0.15">
      <c r="A29" s="13">
        <v>45775</v>
      </c>
      <c r="B29" s="6" t="s">
        <v>44</v>
      </c>
      <c r="C29" s="6" t="s">
        <v>53</v>
      </c>
      <c r="D29" s="6" t="s">
        <v>53</v>
      </c>
      <c r="E29" s="6" t="s">
        <v>38</v>
      </c>
      <c r="F29" s="6">
        <v>97</v>
      </c>
      <c r="G29" s="14">
        <v>116294</v>
      </c>
      <c r="H29" s="15">
        <v>0.39024843725939368</v>
      </c>
      <c r="I29" s="6">
        <v>67</v>
      </c>
      <c r="J29" s="6" t="s">
        <v>32</v>
      </c>
    </row>
    <row r="30" spans="1:10" x14ac:dyDescent="0.15">
      <c r="A30" s="13">
        <v>45776</v>
      </c>
      <c r="B30" s="6" t="s">
        <v>29</v>
      </c>
      <c r="C30" s="6" t="s">
        <v>54</v>
      </c>
      <c r="D30" s="6" t="s">
        <v>54</v>
      </c>
      <c r="E30" s="6" t="s">
        <v>42</v>
      </c>
      <c r="F30" s="6">
        <v>126</v>
      </c>
      <c r="G30" s="14">
        <v>165500</v>
      </c>
      <c r="H30" s="15">
        <v>0.47713591356006591</v>
      </c>
      <c r="I30" s="6">
        <v>56</v>
      </c>
      <c r="J30" s="6" t="s">
        <v>39</v>
      </c>
    </row>
    <row r="31" spans="1:10" x14ac:dyDescent="0.15">
      <c r="A31" s="13">
        <v>45777</v>
      </c>
      <c r="B31" s="6" t="s">
        <v>33</v>
      </c>
      <c r="C31" s="6" t="s">
        <v>37</v>
      </c>
      <c r="D31" s="6" t="s">
        <v>37</v>
      </c>
      <c r="E31" s="6" t="s">
        <v>49</v>
      </c>
      <c r="F31" s="6">
        <v>139</v>
      </c>
      <c r="G31" s="14">
        <v>169490</v>
      </c>
      <c r="H31" s="15">
        <v>0.5335044368914581</v>
      </c>
      <c r="I31" s="6">
        <v>65</v>
      </c>
      <c r="J31" s="6" t="s">
        <v>43</v>
      </c>
    </row>
    <row r="32" spans="1:10" x14ac:dyDescent="0.15">
      <c r="A32" s="13">
        <v>45778</v>
      </c>
      <c r="B32" s="6" t="s">
        <v>34</v>
      </c>
      <c r="C32" s="6" t="s">
        <v>54</v>
      </c>
      <c r="D32" s="6" t="s">
        <v>54</v>
      </c>
      <c r="E32" s="6" t="s">
        <v>49</v>
      </c>
      <c r="F32" s="6">
        <v>97</v>
      </c>
      <c r="G32" s="14">
        <v>113069</v>
      </c>
      <c r="H32" s="15">
        <v>0.42201280627319759</v>
      </c>
      <c r="I32" s="6">
        <v>87</v>
      </c>
      <c r="J32" s="6" t="s">
        <v>32</v>
      </c>
    </row>
    <row r="33" spans="1:10" x14ac:dyDescent="0.15">
      <c r="A33" s="13">
        <v>45779</v>
      </c>
      <c r="B33" s="6" t="s">
        <v>36</v>
      </c>
      <c r="C33" s="6" t="s">
        <v>30</v>
      </c>
      <c r="D33" s="6" t="s">
        <v>30</v>
      </c>
      <c r="E33" s="6" t="s">
        <v>49</v>
      </c>
      <c r="F33" s="6">
        <v>187</v>
      </c>
      <c r="G33" s="14">
        <v>220304</v>
      </c>
      <c r="H33" s="15">
        <v>0.77290521599131079</v>
      </c>
      <c r="I33" s="6">
        <v>83</v>
      </c>
      <c r="J33" s="6" t="s">
        <v>32</v>
      </c>
    </row>
    <row r="34" spans="1:10" x14ac:dyDescent="0.15">
      <c r="A34" s="13">
        <v>45780</v>
      </c>
      <c r="B34" s="6" t="s">
        <v>40</v>
      </c>
      <c r="C34" s="6" t="s">
        <v>30</v>
      </c>
      <c r="D34" s="6" t="s">
        <v>30</v>
      </c>
      <c r="E34" s="6" t="s">
        <v>38</v>
      </c>
      <c r="F34" s="6">
        <v>187</v>
      </c>
      <c r="G34" s="14">
        <v>235860</v>
      </c>
      <c r="H34" s="15">
        <v>0.63830093051917114</v>
      </c>
      <c r="I34" s="6">
        <v>69</v>
      </c>
      <c r="J34" s="6" t="s">
        <v>32</v>
      </c>
    </row>
    <row r="35" spans="1:10" x14ac:dyDescent="0.15">
      <c r="A35" s="13">
        <v>45781</v>
      </c>
      <c r="B35" s="6" t="s">
        <v>41</v>
      </c>
      <c r="C35" s="6" t="s">
        <v>51</v>
      </c>
      <c r="D35" s="6" t="s">
        <v>51</v>
      </c>
      <c r="E35" s="6" t="s">
        <v>31</v>
      </c>
      <c r="F35" s="6">
        <v>201</v>
      </c>
      <c r="G35" s="14">
        <v>255565</v>
      </c>
      <c r="H35" s="15">
        <v>0.74945844016474228</v>
      </c>
      <c r="I35" s="6">
        <v>70</v>
      </c>
      <c r="J35" s="6" t="s">
        <v>32</v>
      </c>
    </row>
    <row r="36" spans="1:10" x14ac:dyDescent="0.15">
      <c r="A36" s="13">
        <v>45782</v>
      </c>
      <c r="B36" s="6" t="s">
        <v>44</v>
      </c>
      <c r="C36" s="6" t="s">
        <v>45</v>
      </c>
      <c r="D36" s="6" t="s">
        <v>45</v>
      </c>
      <c r="E36" s="6" t="s">
        <v>38</v>
      </c>
      <c r="F36" s="6">
        <v>203</v>
      </c>
      <c r="G36" s="14">
        <v>251351</v>
      </c>
      <c r="H36" s="15">
        <v>0.77300323161488516</v>
      </c>
      <c r="I36" s="6">
        <v>90</v>
      </c>
      <c r="J36" s="6" t="s">
        <v>32</v>
      </c>
    </row>
    <row r="37" spans="1:10" x14ac:dyDescent="0.15">
      <c r="A37" s="13">
        <v>45783</v>
      </c>
      <c r="B37" s="6" t="s">
        <v>29</v>
      </c>
      <c r="C37" s="6" t="s">
        <v>50</v>
      </c>
      <c r="D37" s="6" t="s">
        <v>50</v>
      </c>
      <c r="E37" s="6" t="s">
        <v>38</v>
      </c>
      <c r="F37" s="6">
        <v>156</v>
      </c>
      <c r="G37" s="14">
        <v>204658</v>
      </c>
      <c r="H37" s="15">
        <v>0.58614571117182368</v>
      </c>
      <c r="I37" s="6">
        <v>57</v>
      </c>
      <c r="J37" s="6" t="s">
        <v>32</v>
      </c>
    </row>
    <row r="38" spans="1:10" x14ac:dyDescent="0.15">
      <c r="A38" s="13">
        <v>45784</v>
      </c>
      <c r="B38" s="6" t="s">
        <v>33</v>
      </c>
      <c r="C38" s="6" t="s">
        <v>46</v>
      </c>
      <c r="D38" s="6" t="s">
        <v>46</v>
      </c>
      <c r="E38" s="6" t="s">
        <v>38</v>
      </c>
      <c r="F38" s="6">
        <v>201</v>
      </c>
      <c r="G38" s="14">
        <v>242807</v>
      </c>
      <c r="H38" s="15">
        <v>0.78553970526964323</v>
      </c>
      <c r="I38" s="6">
        <v>74</v>
      </c>
      <c r="J38" s="6" t="s">
        <v>32</v>
      </c>
    </row>
    <row r="39" spans="1:10" x14ac:dyDescent="0.15">
      <c r="A39" s="13">
        <v>45785</v>
      </c>
      <c r="B39" s="6" t="s">
        <v>34</v>
      </c>
      <c r="C39" s="6" t="s">
        <v>52</v>
      </c>
      <c r="D39" s="6" t="s">
        <v>52</v>
      </c>
      <c r="E39" s="6" t="s">
        <v>49</v>
      </c>
      <c r="F39" s="6">
        <v>183</v>
      </c>
      <c r="G39" s="14">
        <v>218989</v>
      </c>
      <c r="H39" s="15">
        <v>0.68562590833052905</v>
      </c>
      <c r="I39" s="6">
        <v>73</v>
      </c>
      <c r="J39" s="6" t="s">
        <v>39</v>
      </c>
    </row>
    <row r="40" spans="1:10" x14ac:dyDescent="0.15">
      <c r="A40" s="13">
        <v>45786</v>
      </c>
      <c r="B40" s="6" t="s">
        <v>36</v>
      </c>
      <c r="C40" s="6" t="s">
        <v>30</v>
      </c>
      <c r="D40" s="6" t="s">
        <v>30</v>
      </c>
      <c r="E40" s="6" t="s">
        <v>38</v>
      </c>
      <c r="F40" s="6">
        <v>169</v>
      </c>
      <c r="G40" s="14">
        <v>189320</v>
      </c>
      <c r="H40" s="15">
        <v>0.68032908935168057</v>
      </c>
      <c r="I40" s="6">
        <v>73</v>
      </c>
      <c r="J40" s="6" t="s">
        <v>32</v>
      </c>
    </row>
    <row r="41" spans="1:10" x14ac:dyDescent="0.15">
      <c r="A41" s="13">
        <v>45787</v>
      </c>
      <c r="B41" s="6" t="s">
        <v>40</v>
      </c>
      <c r="C41" s="6" t="s">
        <v>35</v>
      </c>
      <c r="D41" s="6" t="s">
        <v>35</v>
      </c>
      <c r="E41" s="6" t="s">
        <v>42</v>
      </c>
      <c r="F41" s="6">
        <v>199</v>
      </c>
      <c r="G41" s="14">
        <v>231582</v>
      </c>
      <c r="H41" s="15">
        <v>0.76100049129768255</v>
      </c>
      <c r="I41" s="6">
        <v>78</v>
      </c>
      <c r="J41" s="6" t="s">
        <v>32</v>
      </c>
    </row>
    <row r="42" spans="1:10" x14ac:dyDescent="0.15">
      <c r="A42" s="13">
        <v>45788</v>
      </c>
      <c r="B42" s="6" t="s">
        <v>41</v>
      </c>
      <c r="C42" s="6" t="s">
        <v>46</v>
      </c>
      <c r="D42" s="6" t="s">
        <v>46</v>
      </c>
      <c r="E42" s="6" t="s">
        <v>49</v>
      </c>
      <c r="F42" s="6">
        <v>218</v>
      </c>
      <c r="G42" s="14">
        <v>252287</v>
      </c>
      <c r="H42" s="15">
        <v>0.84938016284571893</v>
      </c>
      <c r="I42" s="6">
        <v>75</v>
      </c>
      <c r="J42" s="6" t="s">
        <v>43</v>
      </c>
    </row>
    <row r="43" spans="1:10" x14ac:dyDescent="0.15">
      <c r="A43" s="13">
        <v>45789</v>
      </c>
      <c r="B43" s="6" t="s">
        <v>44</v>
      </c>
      <c r="C43" s="6" t="s">
        <v>50</v>
      </c>
      <c r="D43" s="6" t="s">
        <v>50</v>
      </c>
      <c r="E43" s="6" t="s">
        <v>42</v>
      </c>
      <c r="F43" s="6">
        <v>139</v>
      </c>
      <c r="G43" s="14">
        <v>174217</v>
      </c>
      <c r="H43" s="15">
        <v>0.5832623905394021</v>
      </c>
      <c r="I43" s="6">
        <v>76</v>
      </c>
      <c r="J43" s="6" t="s">
        <v>39</v>
      </c>
    </row>
    <row r="44" spans="1:10" x14ac:dyDescent="0.15">
      <c r="A44" s="13">
        <v>45790</v>
      </c>
      <c r="B44" s="6" t="s">
        <v>29</v>
      </c>
      <c r="C44" s="6" t="s">
        <v>51</v>
      </c>
      <c r="D44" s="6" t="s">
        <v>51</v>
      </c>
      <c r="E44" s="6" t="s">
        <v>38</v>
      </c>
      <c r="F44" s="6">
        <v>217</v>
      </c>
      <c r="G44" s="14">
        <v>244413</v>
      </c>
      <c r="H44" s="15">
        <v>0.86154725884816041</v>
      </c>
      <c r="I44" s="6">
        <v>62</v>
      </c>
      <c r="J44" s="6" t="s">
        <v>32</v>
      </c>
    </row>
    <row r="45" spans="1:10" x14ac:dyDescent="0.15">
      <c r="A45" s="13">
        <v>45791</v>
      </c>
      <c r="B45" s="6" t="s">
        <v>33</v>
      </c>
      <c r="C45" s="6" t="s">
        <v>53</v>
      </c>
      <c r="D45" s="6" t="s">
        <v>53</v>
      </c>
      <c r="E45" s="6" t="s">
        <v>49</v>
      </c>
      <c r="F45" s="6">
        <v>142</v>
      </c>
      <c r="G45" s="14">
        <v>143446</v>
      </c>
      <c r="H45" s="15">
        <v>0.55642523026496782</v>
      </c>
      <c r="I45" s="6">
        <v>64</v>
      </c>
      <c r="J45" s="6" t="s">
        <v>32</v>
      </c>
    </row>
    <row r="46" spans="1:10" x14ac:dyDescent="0.15">
      <c r="A46" s="13">
        <v>45792</v>
      </c>
      <c r="B46" s="6" t="s">
        <v>34</v>
      </c>
      <c r="C46" s="6" t="s">
        <v>54</v>
      </c>
      <c r="D46" s="6" t="s">
        <v>54</v>
      </c>
      <c r="E46" s="6" t="s">
        <v>49</v>
      </c>
      <c r="F46" s="6">
        <v>136</v>
      </c>
      <c r="G46" s="14">
        <v>180890</v>
      </c>
      <c r="H46" s="15">
        <v>0.49413331261296362</v>
      </c>
      <c r="I46" s="6">
        <v>71</v>
      </c>
      <c r="J46" s="6" t="s">
        <v>32</v>
      </c>
    </row>
    <row r="47" spans="1:10" x14ac:dyDescent="0.15">
      <c r="A47" s="13">
        <v>45793</v>
      </c>
      <c r="B47" s="6" t="s">
        <v>36</v>
      </c>
      <c r="C47" s="6" t="s">
        <v>35</v>
      </c>
      <c r="D47" s="6" t="s">
        <v>35</v>
      </c>
      <c r="E47" s="6" t="s">
        <v>31</v>
      </c>
      <c r="F47" s="6">
        <v>172</v>
      </c>
      <c r="G47" s="14">
        <v>219055</v>
      </c>
      <c r="H47" s="15">
        <v>0.71619494955595098</v>
      </c>
      <c r="I47" s="6">
        <v>83</v>
      </c>
      <c r="J47" s="6" t="s">
        <v>43</v>
      </c>
    </row>
    <row r="48" spans="1:10" x14ac:dyDescent="0.15">
      <c r="A48" s="13">
        <v>45794</v>
      </c>
      <c r="B48" s="6" t="s">
        <v>40</v>
      </c>
      <c r="C48" s="6" t="s">
        <v>37</v>
      </c>
      <c r="D48" s="6" t="s">
        <v>37</v>
      </c>
      <c r="E48" s="6" t="s">
        <v>49</v>
      </c>
      <c r="F48" s="6">
        <v>154</v>
      </c>
      <c r="G48" s="14">
        <v>181046</v>
      </c>
      <c r="H48" s="15">
        <v>0.61388202375129985</v>
      </c>
      <c r="I48" s="6">
        <v>67</v>
      </c>
      <c r="J48" s="6" t="s">
        <v>43</v>
      </c>
    </row>
    <row r="49" spans="1:10" x14ac:dyDescent="0.15">
      <c r="A49" s="13">
        <v>45795</v>
      </c>
      <c r="B49" s="6" t="s">
        <v>41</v>
      </c>
      <c r="C49" s="6" t="s">
        <v>53</v>
      </c>
      <c r="D49" s="6" t="s">
        <v>53</v>
      </c>
      <c r="E49" s="6" t="s">
        <v>42</v>
      </c>
      <c r="F49" s="6">
        <v>122</v>
      </c>
      <c r="G49" s="14">
        <v>160128</v>
      </c>
      <c r="H49" s="15">
        <v>0.37634251966806148</v>
      </c>
      <c r="I49" s="6">
        <v>78</v>
      </c>
      <c r="J49" s="6" t="s">
        <v>32</v>
      </c>
    </row>
    <row r="50" spans="1:10" x14ac:dyDescent="0.15">
      <c r="A50" s="13">
        <v>45796</v>
      </c>
      <c r="B50" s="6" t="s">
        <v>44</v>
      </c>
      <c r="C50" s="6" t="s">
        <v>47</v>
      </c>
      <c r="D50" s="6" t="s">
        <v>47</v>
      </c>
      <c r="E50" s="6" t="s">
        <v>31</v>
      </c>
      <c r="F50" s="6">
        <v>153</v>
      </c>
      <c r="G50" s="14">
        <v>185605</v>
      </c>
      <c r="H50" s="15">
        <v>0.52552113738608974</v>
      </c>
      <c r="I50" s="6">
        <v>66</v>
      </c>
      <c r="J50" s="6" t="s">
        <v>32</v>
      </c>
    </row>
    <row r="51" spans="1:10" x14ac:dyDescent="0.15">
      <c r="A51" s="13">
        <v>45797</v>
      </c>
      <c r="B51" s="6" t="s">
        <v>29</v>
      </c>
      <c r="C51" s="6" t="s">
        <v>30</v>
      </c>
      <c r="D51" s="6" t="s">
        <v>30</v>
      </c>
      <c r="E51" s="6" t="s">
        <v>38</v>
      </c>
      <c r="F51" s="6">
        <v>227</v>
      </c>
      <c r="G51" s="14">
        <v>268408</v>
      </c>
      <c r="H51" s="15">
        <v>0.83613477161550498</v>
      </c>
      <c r="I51" s="6">
        <v>63</v>
      </c>
      <c r="J51" s="6" t="s">
        <v>32</v>
      </c>
    </row>
    <row r="52" spans="1:10" x14ac:dyDescent="0.15">
      <c r="A52" s="13">
        <v>45798</v>
      </c>
      <c r="B52" s="6" t="s">
        <v>33</v>
      </c>
      <c r="C52" s="6" t="s">
        <v>47</v>
      </c>
      <c r="D52" s="6" t="s">
        <v>47</v>
      </c>
      <c r="E52" s="6" t="s">
        <v>31</v>
      </c>
      <c r="F52" s="6">
        <v>126</v>
      </c>
      <c r="G52" s="14">
        <v>140697</v>
      </c>
      <c r="H52" s="15">
        <v>0.47012308824893778</v>
      </c>
      <c r="I52" s="6">
        <v>58</v>
      </c>
      <c r="J52" s="6" t="s">
        <v>32</v>
      </c>
    </row>
    <row r="53" spans="1:10" x14ac:dyDescent="0.15">
      <c r="A53" s="13">
        <v>45799</v>
      </c>
      <c r="B53" s="6" t="s">
        <v>34</v>
      </c>
      <c r="C53" s="6" t="s">
        <v>51</v>
      </c>
      <c r="D53" s="6" t="s">
        <v>51</v>
      </c>
      <c r="E53" s="6" t="s">
        <v>31</v>
      </c>
      <c r="F53" s="6">
        <v>171</v>
      </c>
      <c r="G53" s="14">
        <v>205300</v>
      </c>
      <c r="H53" s="15">
        <v>0.65673983416444193</v>
      </c>
      <c r="I53" s="6">
        <v>77</v>
      </c>
      <c r="J53" s="6" t="s">
        <v>43</v>
      </c>
    </row>
    <row r="54" spans="1:10" x14ac:dyDescent="0.15">
      <c r="A54" s="13">
        <v>45800</v>
      </c>
      <c r="B54" s="6" t="s">
        <v>36</v>
      </c>
      <c r="C54" s="6" t="s">
        <v>50</v>
      </c>
      <c r="D54" s="6" t="s">
        <v>50</v>
      </c>
      <c r="E54" s="6" t="s">
        <v>49</v>
      </c>
      <c r="F54" s="6">
        <v>115</v>
      </c>
      <c r="G54" s="14">
        <v>139679</v>
      </c>
      <c r="H54" s="15">
        <v>0.45126709453191982</v>
      </c>
      <c r="I54" s="6">
        <v>76</v>
      </c>
      <c r="J54" s="6" t="s">
        <v>32</v>
      </c>
    </row>
    <row r="55" spans="1:10" x14ac:dyDescent="0.15">
      <c r="A55" s="13">
        <v>45801</v>
      </c>
      <c r="B55" s="6" t="s">
        <v>40</v>
      </c>
      <c r="C55" s="6" t="s">
        <v>50</v>
      </c>
      <c r="D55" s="6" t="s">
        <v>50</v>
      </c>
      <c r="E55" s="6" t="s">
        <v>38</v>
      </c>
      <c r="F55" s="6">
        <v>119</v>
      </c>
      <c r="G55" s="14">
        <v>139963</v>
      </c>
      <c r="H55" s="15">
        <v>0.42471592168515387</v>
      </c>
      <c r="I55" s="6">
        <v>80</v>
      </c>
      <c r="J55" s="6" t="s">
        <v>32</v>
      </c>
    </row>
    <row r="56" spans="1:10" x14ac:dyDescent="0.15">
      <c r="A56" s="13">
        <v>45802</v>
      </c>
      <c r="B56" s="6" t="s">
        <v>41</v>
      </c>
      <c r="C56" s="6" t="s">
        <v>52</v>
      </c>
      <c r="D56" s="6" t="s">
        <v>52</v>
      </c>
      <c r="E56" s="6" t="s">
        <v>31</v>
      </c>
      <c r="F56" s="6">
        <v>200</v>
      </c>
      <c r="G56" s="14">
        <v>241647</v>
      </c>
      <c r="H56" s="15">
        <v>0.86562433379893233</v>
      </c>
      <c r="I56" s="6">
        <v>84</v>
      </c>
      <c r="J56" s="6" t="s">
        <v>32</v>
      </c>
    </row>
    <row r="57" spans="1:10" x14ac:dyDescent="0.15">
      <c r="A57" s="13">
        <v>45803</v>
      </c>
      <c r="B57" s="6" t="s">
        <v>44</v>
      </c>
      <c r="C57" s="6" t="s">
        <v>51</v>
      </c>
      <c r="D57" s="6" t="s">
        <v>51</v>
      </c>
      <c r="E57" s="6" t="s">
        <v>31</v>
      </c>
      <c r="F57" s="6">
        <v>178</v>
      </c>
      <c r="G57" s="14">
        <v>209140</v>
      </c>
      <c r="H57" s="15">
        <v>0.66863979895836334</v>
      </c>
      <c r="I57" s="6">
        <v>80</v>
      </c>
      <c r="J57" s="6" t="s">
        <v>32</v>
      </c>
    </row>
    <row r="58" spans="1:10" x14ac:dyDescent="0.15">
      <c r="A58" s="13">
        <v>45804</v>
      </c>
      <c r="B58" s="6" t="s">
        <v>29</v>
      </c>
      <c r="C58" s="6" t="s">
        <v>51</v>
      </c>
      <c r="D58" s="6" t="s">
        <v>51</v>
      </c>
      <c r="E58" s="6" t="s">
        <v>31</v>
      </c>
      <c r="F58" s="6">
        <v>202</v>
      </c>
      <c r="G58" s="14">
        <v>277474</v>
      </c>
      <c r="H58" s="15">
        <v>0.76575922514582506</v>
      </c>
      <c r="I58" s="6">
        <v>77</v>
      </c>
      <c r="J58" s="6" t="s">
        <v>32</v>
      </c>
    </row>
    <row r="59" spans="1:10" x14ac:dyDescent="0.15">
      <c r="A59" s="13">
        <v>45805</v>
      </c>
      <c r="B59" s="6" t="s">
        <v>33</v>
      </c>
      <c r="C59" s="6" t="s">
        <v>35</v>
      </c>
      <c r="D59" s="6" t="s">
        <v>35</v>
      </c>
      <c r="E59" s="6" t="s">
        <v>31</v>
      </c>
      <c r="F59" s="6">
        <v>189</v>
      </c>
      <c r="G59" s="14">
        <v>217471</v>
      </c>
      <c r="H59" s="15">
        <v>0.7738742010666636</v>
      </c>
      <c r="I59" s="6">
        <v>77</v>
      </c>
      <c r="J59" s="6" t="s">
        <v>39</v>
      </c>
    </row>
    <row r="60" spans="1:10" x14ac:dyDescent="0.15">
      <c r="A60" s="13">
        <v>45806</v>
      </c>
      <c r="B60" s="6" t="s">
        <v>34</v>
      </c>
      <c r="C60" s="6" t="s">
        <v>48</v>
      </c>
      <c r="D60" s="6" t="s">
        <v>48</v>
      </c>
      <c r="E60" s="6" t="s">
        <v>38</v>
      </c>
      <c r="F60" s="6">
        <v>151</v>
      </c>
      <c r="G60" s="14">
        <v>164752</v>
      </c>
      <c r="H60" s="15">
        <v>0.5540002704399789</v>
      </c>
      <c r="I60" s="6">
        <v>70</v>
      </c>
      <c r="J60" s="6" t="s">
        <v>32</v>
      </c>
    </row>
    <row r="61" spans="1:10" x14ac:dyDescent="0.15">
      <c r="A61" s="13">
        <v>45807</v>
      </c>
      <c r="B61" s="6" t="s">
        <v>36</v>
      </c>
      <c r="C61" s="6" t="s">
        <v>53</v>
      </c>
      <c r="D61" s="6" t="s">
        <v>53</v>
      </c>
      <c r="E61" s="6" t="s">
        <v>38</v>
      </c>
      <c r="F61" s="6">
        <v>117</v>
      </c>
      <c r="G61" s="14">
        <v>130016</v>
      </c>
      <c r="H61" s="15">
        <v>0.47537647773959352</v>
      </c>
      <c r="I61" s="6">
        <v>73</v>
      </c>
      <c r="J61" s="6" t="s">
        <v>43</v>
      </c>
    </row>
    <row r="62" spans="1:10" x14ac:dyDescent="0.15">
      <c r="A62" s="13">
        <v>45808</v>
      </c>
      <c r="B62" s="6" t="s">
        <v>40</v>
      </c>
      <c r="C62" s="6" t="s">
        <v>46</v>
      </c>
      <c r="D62" s="6" t="s">
        <v>46</v>
      </c>
      <c r="E62" s="6" t="s">
        <v>31</v>
      </c>
      <c r="F62" s="6">
        <v>209</v>
      </c>
      <c r="G62" s="14">
        <v>261628</v>
      </c>
      <c r="H62" s="15">
        <v>0.78494449108253173</v>
      </c>
      <c r="I62" s="6">
        <v>60</v>
      </c>
      <c r="J62" s="6" t="s">
        <v>32</v>
      </c>
    </row>
    <row r="63" spans="1:10" x14ac:dyDescent="0.15">
      <c r="A63" s="13">
        <v>45809</v>
      </c>
      <c r="B63" s="6" t="s">
        <v>41</v>
      </c>
      <c r="C63" s="6" t="s">
        <v>50</v>
      </c>
      <c r="D63" s="6" t="s">
        <v>50</v>
      </c>
      <c r="E63" s="6" t="s">
        <v>31</v>
      </c>
      <c r="F63" s="6">
        <v>125</v>
      </c>
      <c r="G63" s="14">
        <v>145458</v>
      </c>
      <c r="H63" s="15">
        <v>0.49055852671367223</v>
      </c>
      <c r="I63" s="6">
        <v>76</v>
      </c>
      <c r="J63" s="6" t="s">
        <v>32</v>
      </c>
    </row>
    <row r="64" spans="1:10" x14ac:dyDescent="0.15">
      <c r="A64" s="13">
        <v>45810</v>
      </c>
      <c r="B64" s="6" t="s">
        <v>44</v>
      </c>
      <c r="C64" s="6" t="s">
        <v>48</v>
      </c>
      <c r="D64" s="6" t="s">
        <v>48</v>
      </c>
      <c r="E64" s="6" t="s">
        <v>42</v>
      </c>
      <c r="F64" s="6">
        <v>143</v>
      </c>
      <c r="G64" s="14">
        <v>167723</v>
      </c>
      <c r="H64" s="15">
        <v>0.55149758616291567</v>
      </c>
      <c r="I64" s="6">
        <v>54</v>
      </c>
      <c r="J64" s="6" t="s">
        <v>39</v>
      </c>
    </row>
    <row r="65" spans="1:10" x14ac:dyDescent="0.15">
      <c r="A65" s="13">
        <v>45811</v>
      </c>
      <c r="B65" s="6" t="s">
        <v>29</v>
      </c>
      <c r="C65" s="6" t="s">
        <v>48</v>
      </c>
      <c r="D65" s="6" t="s">
        <v>48</v>
      </c>
      <c r="E65" s="6" t="s">
        <v>42</v>
      </c>
      <c r="F65" s="6">
        <v>130</v>
      </c>
      <c r="G65" s="14">
        <v>164703</v>
      </c>
      <c r="H65" s="15">
        <v>0.53115565421351185</v>
      </c>
      <c r="I65" s="6">
        <v>71</v>
      </c>
      <c r="J65" s="6" t="s">
        <v>39</v>
      </c>
    </row>
    <row r="66" spans="1:10" x14ac:dyDescent="0.15">
      <c r="A66" s="13">
        <v>45812</v>
      </c>
      <c r="B66" s="6" t="s">
        <v>33</v>
      </c>
      <c r="C66" s="6" t="s">
        <v>54</v>
      </c>
      <c r="D66" s="6" t="s">
        <v>54</v>
      </c>
      <c r="E66" s="6" t="s">
        <v>31</v>
      </c>
      <c r="F66" s="6">
        <v>170</v>
      </c>
      <c r="G66" s="14">
        <v>182568</v>
      </c>
      <c r="H66" s="15">
        <v>0.57932156540108237</v>
      </c>
      <c r="I66" s="6">
        <v>66</v>
      </c>
      <c r="J66" s="6" t="s">
        <v>32</v>
      </c>
    </row>
    <row r="67" spans="1:10" x14ac:dyDescent="0.15">
      <c r="A67" s="13">
        <v>45813</v>
      </c>
      <c r="B67" s="6" t="s">
        <v>34</v>
      </c>
      <c r="C67" s="6" t="s">
        <v>52</v>
      </c>
      <c r="D67" s="6" t="s">
        <v>52</v>
      </c>
      <c r="E67" s="6" t="s">
        <v>38</v>
      </c>
      <c r="F67" s="6">
        <v>186</v>
      </c>
      <c r="G67" s="14">
        <v>224997</v>
      </c>
      <c r="H67" s="15">
        <v>0.71339694437319168</v>
      </c>
      <c r="I67" s="6">
        <v>85</v>
      </c>
      <c r="J67" s="6" t="s">
        <v>39</v>
      </c>
    </row>
    <row r="68" spans="1:10" x14ac:dyDescent="0.15">
      <c r="A68" s="13">
        <v>45814</v>
      </c>
      <c r="B68" s="6" t="s">
        <v>36</v>
      </c>
      <c r="C68" s="6" t="s">
        <v>54</v>
      </c>
      <c r="D68" s="6" t="s">
        <v>54</v>
      </c>
      <c r="E68" s="6" t="s">
        <v>49</v>
      </c>
      <c r="F68" s="6">
        <v>118</v>
      </c>
      <c r="G68" s="14">
        <v>167088</v>
      </c>
      <c r="H68" s="15">
        <v>0.39532015891128391</v>
      </c>
      <c r="I68" s="6">
        <v>77</v>
      </c>
      <c r="J68" s="6" t="s">
        <v>39</v>
      </c>
    </row>
    <row r="69" spans="1:10" x14ac:dyDescent="0.15">
      <c r="A69" s="13">
        <v>45815</v>
      </c>
      <c r="B69" s="6" t="s">
        <v>40</v>
      </c>
      <c r="C69" s="6" t="s">
        <v>37</v>
      </c>
      <c r="D69" s="6" t="s">
        <v>37</v>
      </c>
      <c r="E69" s="6" t="s">
        <v>42</v>
      </c>
      <c r="F69" s="6">
        <v>142</v>
      </c>
      <c r="G69" s="14">
        <v>173445</v>
      </c>
      <c r="H69" s="15">
        <v>0.55582823656550195</v>
      </c>
      <c r="I69" s="6">
        <v>67</v>
      </c>
      <c r="J69" s="6" t="s">
        <v>32</v>
      </c>
    </row>
    <row r="70" spans="1:10" x14ac:dyDescent="0.15">
      <c r="A70" s="13">
        <v>45816</v>
      </c>
      <c r="B70" s="6" t="s">
        <v>41</v>
      </c>
      <c r="C70" s="6" t="s">
        <v>46</v>
      </c>
      <c r="D70" s="6" t="s">
        <v>46</v>
      </c>
      <c r="E70" s="6" t="s">
        <v>38</v>
      </c>
      <c r="F70" s="6">
        <v>188</v>
      </c>
      <c r="G70" s="14">
        <v>223241</v>
      </c>
      <c r="H70" s="15">
        <v>0.70606271890735217</v>
      </c>
      <c r="I70" s="6">
        <v>72</v>
      </c>
      <c r="J70" s="6" t="s">
        <v>32</v>
      </c>
    </row>
    <row r="71" spans="1:10" x14ac:dyDescent="0.15">
      <c r="A71" s="13">
        <v>45817</v>
      </c>
      <c r="B71" s="6" t="s">
        <v>44</v>
      </c>
      <c r="C71" s="6" t="s">
        <v>47</v>
      </c>
      <c r="D71" s="6" t="s">
        <v>47</v>
      </c>
      <c r="E71" s="6" t="s">
        <v>49</v>
      </c>
      <c r="F71" s="6">
        <v>142</v>
      </c>
      <c r="G71" s="14">
        <v>183245</v>
      </c>
      <c r="H71" s="15">
        <v>0.54592885245924916</v>
      </c>
      <c r="I71" s="6">
        <v>64</v>
      </c>
      <c r="J71" s="6" t="s">
        <v>32</v>
      </c>
    </row>
    <row r="72" spans="1:10" x14ac:dyDescent="0.15">
      <c r="A72" s="13">
        <v>45818</v>
      </c>
      <c r="B72" s="6" t="s">
        <v>29</v>
      </c>
      <c r="C72" s="6" t="s">
        <v>45</v>
      </c>
      <c r="D72" s="6" t="s">
        <v>45</v>
      </c>
      <c r="E72" s="6" t="s">
        <v>42</v>
      </c>
      <c r="F72" s="6">
        <v>203</v>
      </c>
      <c r="G72" s="14">
        <v>240869</v>
      </c>
      <c r="H72" s="15">
        <v>0.8092077118852683</v>
      </c>
      <c r="I72" s="6">
        <v>67</v>
      </c>
      <c r="J72" s="6" t="s">
        <v>32</v>
      </c>
    </row>
    <row r="73" spans="1:10" x14ac:dyDescent="0.15">
      <c r="A73" s="13">
        <v>45819</v>
      </c>
      <c r="B73" s="6" t="s">
        <v>33</v>
      </c>
      <c r="C73" s="6" t="s">
        <v>46</v>
      </c>
      <c r="D73" s="6" t="s">
        <v>46</v>
      </c>
      <c r="E73" s="6" t="s">
        <v>31</v>
      </c>
      <c r="F73" s="6">
        <v>177</v>
      </c>
      <c r="G73" s="14">
        <v>206327</v>
      </c>
      <c r="H73" s="15">
        <v>0.65534403697486809</v>
      </c>
      <c r="I73" s="6">
        <v>58</v>
      </c>
      <c r="J73" s="6" t="s">
        <v>32</v>
      </c>
    </row>
    <row r="74" spans="1:10" x14ac:dyDescent="0.15">
      <c r="A74" s="13">
        <v>45820</v>
      </c>
      <c r="B74" s="6" t="s">
        <v>34</v>
      </c>
      <c r="C74" s="6" t="s">
        <v>37</v>
      </c>
      <c r="D74" s="6" t="s">
        <v>37</v>
      </c>
      <c r="E74" s="6" t="s">
        <v>31</v>
      </c>
      <c r="F74" s="6">
        <v>153</v>
      </c>
      <c r="G74" s="14">
        <v>189345</v>
      </c>
      <c r="H74" s="15">
        <v>0.62488147681371842</v>
      </c>
      <c r="I74" s="6">
        <v>68</v>
      </c>
      <c r="J74" s="6" t="s">
        <v>39</v>
      </c>
    </row>
    <row r="75" spans="1:10" x14ac:dyDescent="0.15">
      <c r="A75" s="13">
        <v>45821</v>
      </c>
      <c r="B75" s="6" t="s">
        <v>36</v>
      </c>
      <c r="C75" s="6" t="s">
        <v>50</v>
      </c>
      <c r="D75" s="6" t="s">
        <v>50</v>
      </c>
      <c r="E75" s="6" t="s">
        <v>31</v>
      </c>
      <c r="F75" s="6">
        <v>107</v>
      </c>
      <c r="G75" s="14">
        <v>110366</v>
      </c>
      <c r="H75" s="15">
        <v>0.40161869666388023</v>
      </c>
      <c r="I75" s="6">
        <v>59</v>
      </c>
      <c r="J75" s="6" t="s">
        <v>43</v>
      </c>
    </row>
    <row r="76" spans="1:10" x14ac:dyDescent="0.15">
      <c r="A76" s="13">
        <v>45822</v>
      </c>
      <c r="B76" s="6" t="s">
        <v>40</v>
      </c>
      <c r="C76" s="6" t="s">
        <v>53</v>
      </c>
      <c r="D76" s="6" t="s">
        <v>53</v>
      </c>
      <c r="E76" s="6" t="s">
        <v>31</v>
      </c>
      <c r="F76" s="6">
        <v>107</v>
      </c>
      <c r="G76" s="14">
        <v>132848</v>
      </c>
      <c r="H76" s="15">
        <v>0.40365228991481111</v>
      </c>
      <c r="I76" s="6">
        <v>85</v>
      </c>
      <c r="J76" s="6" t="s">
        <v>32</v>
      </c>
    </row>
    <row r="77" spans="1:10" x14ac:dyDescent="0.15">
      <c r="A77" s="13">
        <v>45823</v>
      </c>
      <c r="B77" s="6" t="s">
        <v>41</v>
      </c>
      <c r="C77" s="6" t="s">
        <v>52</v>
      </c>
      <c r="D77" s="6" t="s">
        <v>52</v>
      </c>
      <c r="E77" s="6" t="s">
        <v>42</v>
      </c>
      <c r="F77" s="6">
        <v>189</v>
      </c>
      <c r="G77" s="14">
        <v>218772</v>
      </c>
      <c r="H77" s="15">
        <v>0.71133797968952861</v>
      </c>
      <c r="I77" s="6">
        <v>71</v>
      </c>
      <c r="J77" s="6" t="s">
        <v>39</v>
      </c>
    </row>
    <row r="78" spans="1:10" x14ac:dyDescent="0.15">
      <c r="A78" s="13">
        <v>45824</v>
      </c>
      <c r="B78" s="6" t="s">
        <v>44</v>
      </c>
      <c r="C78" s="6" t="s">
        <v>48</v>
      </c>
      <c r="D78" s="6" t="s">
        <v>48</v>
      </c>
      <c r="E78" s="6" t="s">
        <v>49</v>
      </c>
      <c r="F78" s="6">
        <v>131</v>
      </c>
      <c r="G78" s="14">
        <v>174122</v>
      </c>
      <c r="H78" s="15">
        <v>0.465073170305773</v>
      </c>
      <c r="I78" s="6">
        <v>83</v>
      </c>
      <c r="J78" s="6" t="s">
        <v>43</v>
      </c>
    </row>
    <row r="79" spans="1:10" x14ac:dyDescent="0.15">
      <c r="A79" s="13">
        <v>45825</v>
      </c>
      <c r="B79" s="6" t="s">
        <v>29</v>
      </c>
      <c r="C79" s="6" t="s">
        <v>35</v>
      </c>
      <c r="D79" s="6" t="s">
        <v>35</v>
      </c>
      <c r="E79" s="6" t="s">
        <v>31</v>
      </c>
      <c r="F79" s="6">
        <v>199</v>
      </c>
      <c r="G79" s="14">
        <v>256571</v>
      </c>
      <c r="H79" s="15">
        <v>0.70656379650822498</v>
      </c>
      <c r="I79" s="6">
        <v>78</v>
      </c>
      <c r="J79" s="6" t="s">
        <v>39</v>
      </c>
    </row>
    <row r="80" spans="1:10" x14ac:dyDescent="0.15">
      <c r="A80" s="13">
        <v>45826</v>
      </c>
      <c r="B80" s="6" t="s">
        <v>33</v>
      </c>
      <c r="C80" s="6" t="s">
        <v>48</v>
      </c>
      <c r="D80" s="6" t="s">
        <v>48</v>
      </c>
      <c r="E80" s="6" t="s">
        <v>38</v>
      </c>
      <c r="F80" s="6">
        <v>125</v>
      </c>
      <c r="G80" s="14">
        <v>141138</v>
      </c>
      <c r="H80" s="15">
        <v>0.4903018048648386</v>
      </c>
      <c r="I80" s="6">
        <v>82</v>
      </c>
      <c r="J80" s="6" t="s">
        <v>43</v>
      </c>
    </row>
    <row r="81" spans="1:10" x14ac:dyDescent="0.15">
      <c r="A81" s="13">
        <v>45827</v>
      </c>
      <c r="B81" s="6" t="s">
        <v>34</v>
      </c>
      <c r="C81" s="6" t="s">
        <v>48</v>
      </c>
      <c r="D81" s="6" t="s">
        <v>48</v>
      </c>
      <c r="E81" s="6" t="s">
        <v>31</v>
      </c>
      <c r="F81" s="6">
        <v>107</v>
      </c>
      <c r="G81" s="14">
        <v>121558</v>
      </c>
      <c r="H81" s="15">
        <v>0.45578303861876363</v>
      </c>
      <c r="I81" s="6">
        <v>69</v>
      </c>
      <c r="J81" s="6" t="s">
        <v>43</v>
      </c>
    </row>
    <row r="82" spans="1:10" x14ac:dyDescent="0.15">
      <c r="A82" s="13">
        <v>45828</v>
      </c>
      <c r="B82" s="6" t="s">
        <v>36</v>
      </c>
      <c r="C82" s="6" t="s">
        <v>37</v>
      </c>
      <c r="D82" s="6" t="s">
        <v>37</v>
      </c>
      <c r="E82" s="6" t="s">
        <v>42</v>
      </c>
      <c r="F82" s="6">
        <v>123</v>
      </c>
      <c r="G82" s="14">
        <v>154513</v>
      </c>
      <c r="H82" s="15">
        <v>0.46760775988203462</v>
      </c>
      <c r="I82" s="6">
        <v>61</v>
      </c>
      <c r="J82" s="6" t="s">
        <v>32</v>
      </c>
    </row>
    <row r="83" spans="1:10" x14ac:dyDescent="0.15">
      <c r="A83" s="13">
        <v>45829</v>
      </c>
      <c r="B83" s="6" t="s">
        <v>40</v>
      </c>
      <c r="C83" s="6" t="s">
        <v>54</v>
      </c>
      <c r="D83" s="6" t="s">
        <v>54</v>
      </c>
      <c r="E83" s="6" t="s">
        <v>38</v>
      </c>
      <c r="F83" s="6">
        <v>128</v>
      </c>
      <c r="G83" s="14">
        <v>165553</v>
      </c>
      <c r="H83" s="15">
        <v>0.49533123344185392</v>
      </c>
      <c r="I83" s="6">
        <v>59</v>
      </c>
      <c r="J83" s="6" t="s">
        <v>32</v>
      </c>
    </row>
    <row r="84" spans="1:10" x14ac:dyDescent="0.15">
      <c r="A84" s="13">
        <v>45830</v>
      </c>
      <c r="B84" s="6" t="s">
        <v>41</v>
      </c>
      <c r="C84" s="6" t="s">
        <v>51</v>
      </c>
      <c r="D84" s="6" t="s">
        <v>51</v>
      </c>
      <c r="E84" s="6" t="s">
        <v>38</v>
      </c>
      <c r="F84" s="6">
        <v>177</v>
      </c>
      <c r="G84" s="14">
        <v>227288</v>
      </c>
      <c r="H84" s="15">
        <v>0.67602146255898188</v>
      </c>
      <c r="I84" s="6">
        <v>73</v>
      </c>
      <c r="J84" s="6" t="s">
        <v>32</v>
      </c>
    </row>
    <row r="85" spans="1:10" x14ac:dyDescent="0.15">
      <c r="A85" s="13">
        <v>45831</v>
      </c>
      <c r="B85" s="6" t="s">
        <v>44</v>
      </c>
      <c r="C85" s="6" t="s">
        <v>52</v>
      </c>
      <c r="D85" s="6" t="s">
        <v>52</v>
      </c>
      <c r="E85" s="6" t="s">
        <v>31</v>
      </c>
      <c r="F85" s="6">
        <v>153</v>
      </c>
      <c r="G85" s="14">
        <v>174434</v>
      </c>
      <c r="H85" s="15">
        <v>0.59285697086641254</v>
      </c>
      <c r="I85" s="6">
        <v>78</v>
      </c>
      <c r="J85" s="6" t="s">
        <v>43</v>
      </c>
    </row>
    <row r="86" spans="1:10" x14ac:dyDescent="0.15">
      <c r="A86" s="13">
        <v>45832</v>
      </c>
      <c r="B86" s="6" t="s">
        <v>29</v>
      </c>
      <c r="C86" s="6" t="s">
        <v>54</v>
      </c>
      <c r="D86" s="6" t="s">
        <v>54</v>
      </c>
      <c r="E86" s="6" t="s">
        <v>31</v>
      </c>
      <c r="F86" s="6">
        <v>96</v>
      </c>
      <c r="G86" s="14">
        <v>138536</v>
      </c>
      <c r="H86" s="15">
        <v>0.36814663591087088</v>
      </c>
      <c r="I86" s="6">
        <v>85</v>
      </c>
      <c r="J86" s="6" t="s">
        <v>32</v>
      </c>
    </row>
    <row r="87" spans="1:10" x14ac:dyDescent="0.15">
      <c r="A87" s="13">
        <v>45833</v>
      </c>
      <c r="B87" s="6" t="s">
        <v>33</v>
      </c>
      <c r="C87" s="6" t="s">
        <v>54</v>
      </c>
      <c r="D87" s="6" t="s">
        <v>54</v>
      </c>
      <c r="E87" s="6" t="s">
        <v>42</v>
      </c>
      <c r="F87" s="6">
        <v>144</v>
      </c>
      <c r="G87" s="14">
        <v>176069</v>
      </c>
      <c r="H87" s="15">
        <v>0.57262431063351715</v>
      </c>
      <c r="I87" s="6">
        <v>71</v>
      </c>
      <c r="J87" s="6" t="s">
        <v>43</v>
      </c>
    </row>
    <row r="88" spans="1:10" x14ac:dyDescent="0.15">
      <c r="A88" s="13">
        <v>45834</v>
      </c>
      <c r="B88" s="6" t="s">
        <v>34</v>
      </c>
      <c r="C88" s="6" t="s">
        <v>46</v>
      </c>
      <c r="D88" s="6" t="s">
        <v>46</v>
      </c>
      <c r="E88" s="6" t="s">
        <v>31</v>
      </c>
      <c r="F88" s="6">
        <v>159</v>
      </c>
      <c r="G88" s="14">
        <v>189537</v>
      </c>
      <c r="H88" s="15">
        <v>0.57154993597962933</v>
      </c>
      <c r="I88" s="6">
        <v>65</v>
      </c>
      <c r="J88" s="6" t="s">
        <v>39</v>
      </c>
    </row>
    <row r="89" spans="1:10" x14ac:dyDescent="0.15">
      <c r="A89" s="13">
        <v>45835</v>
      </c>
      <c r="B89" s="6" t="s">
        <v>36</v>
      </c>
      <c r="C89" s="6" t="s">
        <v>37</v>
      </c>
      <c r="D89" s="6" t="s">
        <v>37</v>
      </c>
      <c r="E89" s="6" t="s">
        <v>42</v>
      </c>
      <c r="F89" s="6">
        <v>161</v>
      </c>
      <c r="G89" s="14">
        <v>163544</v>
      </c>
      <c r="H89" s="15">
        <v>0.6026054816217935</v>
      </c>
      <c r="I89" s="6">
        <v>78</v>
      </c>
      <c r="J89" s="6" t="s">
        <v>32</v>
      </c>
    </row>
    <row r="90" spans="1:10" x14ac:dyDescent="0.15">
      <c r="A90" s="13">
        <v>45836</v>
      </c>
      <c r="B90" s="6" t="s">
        <v>40</v>
      </c>
      <c r="C90" s="6" t="s">
        <v>47</v>
      </c>
      <c r="D90" s="6" t="s">
        <v>47</v>
      </c>
      <c r="E90" s="6" t="s">
        <v>31</v>
      </c>
      <c r="F90" s="6">
        <v>130</v>
      </c>
      <c r="G90" s="14">
        <v>148767</v>
      </c>
      <c r="H90" s="15">
        <v>0.50636885404990317</v>
      </c>
      <c r="I90" s="6">
        <v>70</v>
      </c>
      <c r="J90" s="6" t="s">
        <v>32</v>
      </c>
    </row>
    <row r="91" spans="1:10" x14ac:dyDescent="0.15">
      <c r="A91" s="13">
        <v>45837</v>
      </c>
      <c r="B91" s="6" t="s">
        <v>41</v>
      </c>
      <c r="C91" s="6" t="s">
        <v>54</v>
      </c>
      <c r="D91" s="6" t="s">
        <v>54</v>
      </c>
      <c r="E91" s="6" t="s">
        <v>42</v>
      </c>
      <c r="F91" s="6">
        <v>126</v>
      </c>
      <c r="G91" s="14">
        <v>155836</v>
      </c>
      <c r="H91" s="15">
        <v>0.47004483908569827</v>
      </c>
      <c r="I91" s="6">
        <v>57</v>
      </c>
      <c r="J91" s="6" t="s">
        <v>39</v>
      </c>
    </row>
    <row r="92" spans="1:10" x14ac:dyDescent="0.15">
      <c r="A92" s="13">
        <v>45838</v>
      </c>
      <c r="B92" s="6" t="s">
        <v>44</v>
      </c>
      <c r="C92" s="6" t="s">
        <v>37</v>
      </c>
      <c r="D92" s="6" t="s">
        <v>37</v>
      </c>
      <c r="E92" s="6" t="s">
        <v>42</v>
      </c>
      <c r="F92" s="6">
        <v>131</v>
      </c>
      <c r="G92" s="14">
        <v>139554</v>
      </c>
      <c r="H92" s="15">
        <v>0.46067332037971359</v>
      </c>
      <c r="I92" s="6">
        <v>52</v>
      </c>
      <c r="J92" s="6" t="s">
        <v>39</v>
      </c>
    </row>
    <row r="93" spans="1:10" x14ac:dyDescent="0.15">
      <c r="A93" s="13">
        <v>45839</v>
      </c>
      <c r="B93" s="6" t="s">
        <v>29</v>
      </c>
      <c r="C93" s="6" t="s">
        <v>35</v>
      </c>
      <c r="D93" s="6" t="s">
        <v>35</v>
      </c>
      <c r="E93" s="6" t="s">
        <v>38</v>
      </c>
      <c r="F93" s="6">
        <v>198</v>
      </c>
      <c r="G93" s="14">
        <v>233293</v>
      </c>
      <c r="H93" s="15">
        <v>0.78053485503390163</v>
      </c>
      <c r="I93" s="6">
        <v>80</v>
      </c>
      <c r="J93" s="6" t="s">
        <v>43</v>
      </c>
    </row>
    <row r="94" spans="1:10" x14ac:dyDescent="0.15">
      <c r="A94" s="13">
        <v>45840</v>
      </c>
      <c r="B94" s="6" t="s">
        <v>33</v>
      </c>
      <c r="C94" s="6" t="s">
        <v>53</v>
      </c>
      <c r="D94" s="6" t="s">
        <v>53</v>
      </c>
      <c r="E94" s="6" t="s">
        <v>49</v>
      </c>
      <c r="F94" s="6">
        <v>139</v>
      </c>
      <c r="G94" s="14">
        <v>175540</v>
      </c>
      <c r="H94" s="15">
        <v>0.50861943056536629</v>
      </c>
      <c r="I94" s="6">
        <v>51</v>
      </c>
      <c r="J94" s="6" t="s">
        <v>39</v>
      </c>
    </row>
    <row r="95" spans="1:10" x14ac:dyDescent="0.15">
      <c r="A95" s="13">
        <v>45841</v>
      </c>
      <c r="B95" s="6" t="s">
        <v>34</v>
      </c>
      <c r="C95" s="6" t="s">
        <v>30</v>
      </c>
      <c r="D95" s="6" t="s">
        <v>30</v>
      </c>
      <c r="E95" s="6" t="s">
        <v>49</v>
      </c>
      <c r="F95" s="6">
        <v>196</v>
      </c>
      <c r="G95" s="14">
        <v>226607</v>
      </c>
      <c r="H95" s="15">
        <v>0.74747541507704351</v>
      </c>
      <c r="I95" s="6">
        <v>70</v>
      </c>
      <c r="J95" s="6" t="s">
        <v>32</v>
      </c>
    </row>
    <row r="96" spans="1:10" x14ac:dyDescent="0.15">
      <c r="A96" s="13">
        <v>45842</v>
      </c>
      <c r="B96" s="6" t="s">
        <v>36</v>
      </c>
      <c r="C96" s="6" t="s">
        <v>47</v>
      </c>
      <c r="D96" s="6" t="s">
        <v>47</v>
      </c>
      <c r="E96" s="6" t="s">
        <v>42</v>
      </c>
      <c r="F96" s="6">
        <v>97</v>
      </c>
      <c r="G96" s="14">
        <v>106042</v>
      </c>
      <c r="H96" s="15">
        <v>0.39225507982411262</v>
      </c>
      <c r="I96" s="6">
        <v>76</v>
      </c>
      <c r="J96" s="6" t="s">
        <v>39</v>
      </c>
    </row>
    <row r="97" spans="1:10" x14ac:dyDescent="0.15">
      <c r="A97" s="13">
        <v>45843</v>
      </c>
      <c r="B97" s="6" t="s">
        <v>40</v>
      </c>
      <c r="C97" s="6" t="s">
        <v>53</v>
      </c>
      <c r="D97" s="6" t="s">
        <v>53</v>
      </c>
      <c r="E97" s="6" t="s">
        <v>49</v>
      </c>
      <c r="F97" s="6">
        <v>114</v>
      </c>
      <c r="G97" s="14">
        <v>122920</v>
      </c>
      <c r="H97" s="15">
        <v>0.46565527050817579</v>
      </c>
      <c r="I97" s="6">
        <v>74</v>
      </c>
      <c r="J97" s="6" t="s">
        <v>43</v>
      </c>
    </row>
    <row r="98" spans="1:10" x14ac:dyDescent="0.15">
      <c r="A98" s="13">
        <v>45844</v>
      </c>
      <c r="B98" s="6" t="s">
        <v>41</v>
      </c>
      <c r="C98" s="6" t="s">
        <v>52</v>
      </c>
      <c r="D98" s="6" t="s">
        <v>52</v>
      </c>
      <c r="E98" s="6" t="s">
        <v>49</v>
      </c>
      <c r="F98" s="6">
        <v>168</v>
      </c>
      <c r="G98" s="14">
        <v>224506</v>
      </c>
      <c r="H98" s="15">
        <v>0.62609337540357213</v>
      </c>
      <c r="I98" s="6">
        <v>96</v>
      </c>
      <c r="J98" s="6" t="s">
        <v>32</v>
      </c>
    </row>
    <row r="99" spans="1:10" x14ac:dyDescent="0.15">
      <c r="A99" s="13">
        <v>45845</v>
      </c>
      <c r="B99" s="6" t="s">
        <v>44</v>
      </c>
      <c r="C99" s="6" t="s">
        <v>50</v>
      </c>
      <c r="D99" s="6" t="s">
        <v>50</v>
      </c>
      <c r="E99" s="6" t="s">
        <v>31</v>
      </c>
      <c r="F99" s="6">
        <v>123</v>
      </c>
      <c r="G99" s="14">
        <v>152326</v>
      </c>
      <c r="H99" s="15">
        <v>0.48296536972130932</v>
      </c>
      <c r="I99" s="6">
        <v>52</v>
      </c>
      <c r="J99" s="6" t="s">
        <v>32</v>
      </c>
    </row>
    <row r="100" spans="1:10" x14ac:dyDescent="0.15">
      <c r="A100" s="13">
        <v>45846</v>
      </c>
      <c r="B100" s="6" t="s">
        <v>29</v>
      </c>
      <c r="C100" s="6" t="s">
        <v>54</v>
      </c>
      <c r="D100" s="6" t="s">
        <v>54</v>
      </c>
      <c r="E100" s="6" t="s">
        <v>42</v>
      </c>
      <c r="F100" s="6">
        <v>138</v>
      </c>
      <c r="G100" s="14">
        <v>166305</v>
      </c>
      <c r="H100" s="15">
        <v>0.50126410201421256</v>
      </c>
      <c r="I100" s="6">
        <v>63</v>
      </c>
      <c r="J100" s="6" t="s">
        <v>39</v>
      </c>
    </row>
    <row r="101" spans="1:10" x14ac:dyDescent="0.15">
      <c r="A101" s="13">
        <v>45847</v>
      </c>
      <c r="B101" s="6" t="s">
        <v>33</v>
      </c>
      <c r="C101" s="6" t="s">
        <v>37</v>
      </c>
      <c r="D101" s="6" t="s">
        <v>37</v>
      </c>
      <c r="E101" s="6" t="s">
        <v>42</v>
      </c>
      <c r="F101" s="6">
        <v>83</v>
      </c>
      <c r="G101" s="14">
        <v>90399</v>
      </c>
      <c r="H101" s="15">
        <v>0.32</v>
      </c>
      <c r="I101" s="6">
        <v>72</v>
      </c>
      <c r="J101" s="6" t="s">
        <v>32</v>
      </c>
    </row>
    <row r="102" spans="1:10" x14ac:dyDescent="0.15">
      <c r="A102" s="13">
        <v>45848</v>
      </c>
      <c r="B102" s="6" t="s">
        <v>34</v>
      </c>
      <c r="C102" s="6" t="s">
        <v>52</v>
      </c>
      <c r="D102" s="6" t="s">
        <v>52</v>
      </c>
      <c r="E102" s="6" t="s">
        <v>49</v>
      </c>
      <c r="F102" s="6">
        <v>165</v>
      </c>
      <c r="G102" s="14">
        <v>206448</v>
      </c>
      <c r="H102" s="15">
        <v>0.61370245393187828</v>
      </c>
      <c r="I102" s="6">
        <v>81</v>
      </c>
      <c r="J102" s="6" t="s">
        <v>32</v>
      </c>
    </row>
    <row r="103" spans="1:10" x14ac:dyDescent="0.15">
      <c r="A103" s="13">
        <v>45849</v>
      </c>
      <c r="B103" s="6" t="s">
        <v>36</v>
      </c>
      <c r="C103" s="6" t="s">
        <v>52</v>
      </c>
      <c r="D103" s="6" t="s">
        <v>52</v>
      </c>
      <c r="E103" s="6" t="s">
        <v>42</v>
      </c>
      <c r="F103" s="6">
        <v>138</v>
      </c>
      <c r="G103" s="14">
        <v>171314</v>
      </c>
      <c r="H103" s="15">
        <v>0.50283835838796931</v>
      </c>
      <c r="I103" s="6">
        <v>77</v>
      </c>
      <c r="J103" s="6" t="s">
        <v>39</v>
      </c>
    </row>
    <row r="104" spans="1:10" x14ac:dyDescent="0.15">
      <c r="A104" s="13">
        <v>45850</v>
      </c>
      <c r="B104" s="6" t="s">
        <v>40</v>
      </c>
      <c r="C104" s="6" t="s">
        <v>54</v>
      </c>
      <c r="D104" s="6" t="s">
        <v>54</v>
      </c>
      <c r="E104" s="6" t="s">
        <v>38</v>
      </c>
      <c r="F104" s="6">
        <v>110</v>
      </c>
      <c r="G104" s="14">
        <v>124963</v>
      </c>
      <c r="H104" s="15">
        <v>0.45985258954800529</v>
      </c>
      <c r="I104" s="6">
        <v>65</v>
      </c>
      <c r="J104" s="6" t="s">
        <v>32</v>
      </c>
    </row>
    <row r="105" spans="1:10" x14ac:dyDescent="0.15">
      <c r="A105" s="13">
        <v>45851</v>
      </c>
      <c r="B105" s="6" t="s">
        <v>41</v>
      </c>
      <c r="C105" s="6" t="s">
        <v>48</v>
      </c>
      <c r="D105" s="6" t="s">
        <v>48</v>
      </c>
      <c r="E105" s="6" t="s">
        <v>31</v>
      </c>
      <c r="F105" s="6">
        <v>109</v>
      </c>
      <c r="G105" s="14">
        <v>145377</v>
      </c>
      <c r="H105" s="15">
        <v>0.41896062107953602</v>
      </c>
      <c r="I105" s="6">
        <v>70</v>
      </c>
      <c r="J105" s="6" t="s">
        <v>43</v>
      </c>
    </row>
    <row r="106" spans="1:10" x14ac:dyDescent="0.15">
      <c r="A106" s="13">
        <v>45852</v>
      </c>
      <c r="B106" s="6" t="s">
        <v>44</v>
      </c>
      <c r="C106" s="6" t="s">
        <v>52</v>
      </c>
      <c r="D106" s="6" t="s">
        <v>52</v>
      </c>
      <c r="E106" s="6" t="s">
        <v>38</v>
      </c>
      <c r="F106" s="6">
        <v>146</v>
      </c>
      <c r="G106" s="14">
        <v>185591</v>
      </c>
      <c r="H106" s="15">
        <v>0.53213778382804111</v>
      </c>
      <c r="I106" s="6">
        <v>89</v>
      </c>
      <c r="J106" s="6" t="s">
        <v>39</v>
      </c>
    </row>
    <row r="107" spans="1:10" x14ac:dyDescent="0.15">
      <c r="A107" s="13">
        <v>45853</v>
      </c>
      <c r="B107" s="6" t="s">
        <v>29</v>
      </c>
      <c r="C107" s="6" t="s">
        <v>51</v>
      </c>
      <c r="D107" s="6" t="s">
        <v>51</v>
      </c>
      <c r="E107" s="6" t="s">
        <v>38</v>
      </c>
      <c r="F107" s="6">
        <v>178</v>
      </c>
      <c r="G107" s="14">
        <v>219651</v>
      </c>
      <c r="H107" s="15">
        <v>0.63351262850719325</v>
      </c>
      <c r="I107" s="6">
        <v>88</v>
      </c>
      <c r="J107" s="6" t="s">
        <v>39</v>
      </c>
    </row>
    <row r="108" spans="1:10" x14ac:dyDescent="0.15">
      <c r="A108" s="13">
        <v>45854</v>
      </c>
      <c r="B108" s="6" t="s">
        <v>33</v>
      </c>
      <c r="C108" s="6" t="s">
        <v>53</v>
      </c>
      <c r="D108" s="6" t="s">
        <v>53</v>
      </c>
      <c r="E108" s="6" t="s">
        <v>49</v>
      </c>
      <c r="F108" s="6">
        <v>107</v>
      </c>
      <c r="G108" s="14">
        <v>104132</v>
      </c>
      <c r="H108" s="15">
        <v>0.37254935497299058</v>
      </c>
      <c r="I108" s="6">
        <v>77</v>
      </c>
      <c r="J108" s="6" t="s">
        <v>32</v>
      </c>
    </row>
    <row r="109" spans="1:10" x14ac:dyDescent="0.15">
      <c r="A109" s="13">
        <v>45855</v>
      </c>
      <c r="B109" s="6" t="s">
        <v>34</v>
      </c>
      <c r="C109" s="6" t="s">
        <v>51</v>
      </c>
      <c r="D109" s="6" t="s">
        <v>51</v>
      </c>
      <c r="E109" s="6" t="s">
        <v>31</v>
      </c>
      <c r="F109" s="6">
        <v>140</v>
      </c>
      <c r="G109" s="14">
        <v>173369</v>
      </c>
      <c r="H109" s="15">
        <v>0.58714842715220406</v>
      </c>
      <c r="I109" s="6">
        <v>66</v>
      </c>
      <c r="J109" s="6" t="s">
        <v>39</v>
      </c>
    </row>
    <row r="110" spans="1:10" x14ac:dyDescent="0.15">
      <c r="A110" s="13">
        <v>45856</v>
      </c>
      <c r="B110" s="6" t="s">
        <v>36</v>
      </c>
      <c r="C110" s="6" t="s">
        <v>46</v>
      </c>
      <c r="D110" s="6" t="s">
        <v>46</v>
      </c>
      <c r="E110" s="6" t="s">
        <v>38</v>
      </c>
      <c r="F110" s="6">
        <v>165</v>
      </c>
      <c r="G110" s="14">
        <v>189157</v>
      </c>
      <c r="H110" s="15">
        <v>0.62320030066891341</v>
      </c>
      <c r="I110" s="6">
        <v>68</v>
      </c>
      <c r="J110" s="6" t="s">
        <v>39</v>
      </c>
    </row>
    <row r="111" spans="1:10" x14ac:dyDescent="0.15">
      <c r="A111" s="13">
        <v>45857</v>
      </c>
      <c r="B111" s="6" t="s">
        <v>40</v>
      </c>
      <c r="C111" s="6" t="s">
        <v>53</v>
      </c>
      <c r="D111" s="6" t="s">
        <v>53</v>
      </c>
      <c r="E111" s="6" t="s">
        <v>31</v>
      </c>
      <c r="F111" s="6">
        <v>104</v>
      </c>
      <c r="G111" s="14">
        <v>102724</v>
      </c>
      <c r="H111" s="15">
        <v>0.44156683803953378</v>
      </c>
      <c r="I111" s="6">
        <v>57</v>
      </c>
      <c r="J111" s="6" t="s">
        <v>39</v>
      </c>
    </row>
    <row r="112" spans="1:10" x14ac:dyDescent="0.15">
      <c r="A112" s="13">
        <v>45858</v>
      </c>
      <c r="B112" s="6" t="s">
        <v>41</v>
      </c>
      <c r="C112" s="6" t="s">
        <v>30</v>
      </c>
      <c r="D112" s="6" t="s">
        <v>30</v>
      </c>
      <c r="E112" s="6" t="s">
        <v>49</v>
      </c>
      <c r="F112" s="6">
        <v>172</v>
      </c>
      <c r="G112" s="14">
        <v>203933</v>
      </c>
      <c r="H112" s="15">
        <v>0.64999656342724677</v>
      </c>
      <c r="I112" s="6">
        <v>65</v>
      </c>
      <c r="J112" s="6" t="s">
        <v>32</v>
      </c>
    </row>
    <row r="113" spans="1:10" x14ac:dyDescent="0.15">
      <c r="A113" s="13">
        <v>45859</v>
      </c>
      <c r="B113" s="6" t="s">
        <v>44</v>
      </c>
      <c r="C113" s="6" t="s">
        <v>48</v>
      </c>
      <c r="D113" s="6" t="s">
        <v>48</v>
      </c>
      <c r="E113" s="6" t="s">
        <v>38</v>
      </c>
      <c r="F113" s="6">
        <v>145</v>
      </c>
      <c r="G113" s="14">
        <v>166897</v>
      </c>
      <c r="H113" s="15">
        <v>0.5530902126100522</v>
      </c>
      <c r="I113" s="6">
        <v>66</v>
      </c>
      <c r="J113" s="6" t="s">
        <v>32</v>
      </c>
    </row>
    <row r="114" spans="1:10" x14ac:dyDescent="0.15">
      <c r="A114" s="13">
        <v>45860</v>
      </c>
      <c r="B114" s="6" t="s">
        <v>29</v>
      </c>
      <c r="C114" s="6" t="s">
        <v>45</v>
      </c>
      <c r="D114" s="6" t="s">
        <v>45</v>
      </c>
      <c r="E114" s="6" t="s">
        <v>31</v>
      </c>
      <c r="F114" s="6">
        <v>198</v>
      </c>
      <c r="G114" s="14">
        <v>247658</v>
      </c>
      <c r="H114" s="15">
        <v>0.75240836327027594</v>
      </c>
      <c r="I114" s="6">
        <v>79</v>
      </c>
      <c r="J114" s="6" t="s">
        <v>32</v>
      </c>
    </row>
    <row r="115" spans="1:10" x14ac:dyDescent="0.15">
      <c r="A115" s="13">
        <v>45861</v>
      </c>
      <c r="B115" s="6" t="s">
        <v>33</v>
      </c>
      <c r="C115" s="6" t="s">
        <v>52</v>
      </c>
      <c r="D115" s="6" t="s">
        <v>52</v>
      </c>
      <c r="E115" s="6" t="s">
        <v>42</v>
      </c>
      <c r="F115" s="6">
        <v>166</v>
      </c>
      <c r="G115" s="14">
        <v>210105</v>
      </c>
      <c r="H115" s="15">
        <v>0.67196475868226568</v>
      </c>
      <c r="I115" s="6">
        <v>69</v>
      </c>
      <c r="J115" s="6" t="s">
        <v>32</v>
      </c>
    </row>
    <row r="116" spans="1:10" x14ac:dyDescent="0.15">
      <c r="A116" s="13">
        <v>45862</v>
      </c>
      <c r="B116" s="6" t="s">
        <v>34</v>
      </c>
      <c r="C116" s="6" t="s">
        <v>52</v>
      </c>
      <c r="D116" s="6" t="s">
        <v>52</v>
      </c>
      <c r="E116" s="6" t="s">
        <v>42</v>
      </c>
      <c r="F116" s="6">
        <v>148</v>
      </c>
      <c r="G116" s="14">
        <v>185740</v>
      </c>
      <c r="H116" s="15">
        <v>0.56906982713750476</v>
      </c>
      <c r="I116" s="6">
        <v>79</v>
      </c>
      <c r="J116" s="6" t="s">
        <v>39</v>
      </c>
    </row>
    <row r="117" spans="1:10" x14ac:dyDescent="0.15">
      <c r="A117" s="13">
        <v>45863</v>
      </c>
      <c r="B117" s="6" t="s">
        <v>36</v>
      </c>
      <c r="C117" s="6" t="s">
        <v>30</v>
      </c>
      <c r="D117" s="6" t="s">
        <v>30</v>
      </c>
      <c r="E117" s="6" t="s">
        <v>38</v>
      </c>
      <c r="F117" s="6">
        <v>151</v>
      </c>
      <c r="G117" s="14">
        <v>188175</v>
      </c>
      <c r="H117" s="15">
        <v>0.53818452768898928</v>
      </c>
      <c r="I117" s="6">
        <v>66</v>
      </c>
      <c r="J117" s="6" t="s">
        <v>39</v>
      </c>
    </row>
    <row r="118" spans="1:10" x14ac:dyDescent="0.15">
      <c r="A118" s="13">
        <v>45864</v>
      </c>
      <c r="B118" s="6" t="s">
        <v>40</v>
      </c>
      <c r="C118" s="6" t="s">
        <v>53</v>
      </c>
      <c r="D118" s="6" t="s">
        <v>53</v>
      </c>
      <c r="E118" s="6" t="s">
        <v>38</v>
      </c>
      <c r="F118" s="6">
        <v>129</v>
      </c>
      <c r="G118" s="14">
        <v>144322</v>
      </c>
      <c r="H118" s="15">
        <v>0.46603911429344302</v>
      </c>
      <c r="I118" s="6">
        <v>76</v>
      </c>
      <c r="J118" s="6" t="s">
        <v>32</v>
      </c>
    </row>
    <row r="119" spans="1:10" x14ac:dyDescent="0.15">
      <c r="A119" s="13">
        <v>45865</v>
      </c>
      <c r="B119" s="6" t="s">
        <v>41</v>
      </c>
      <c r="C119" s="6" t="s">
        <v>37</v>
      </c>
      <c r="D119" s="6" t="s">
        <v>37</v>
      </c>
      <c r="E119" s="6" t="s">
        <v>49</v>
      </c>
      <c r="F119" s="6">
        <v>143</v>
      </c>
      <c r="G119" s="14">
        <v>169709</v>
      </c>
      <c r="H119" s="15">
        <v>0.60079537197504107</v>
      </c>
      <c r="I119" s="6">
        <v>66</v>
      </c>
      <c r="J119" s="6" t="s">
        <v>43</v>
      </c>
    </row>
    <row r="120" spans="1:10" x14ac:dyDescent="0.15">
      <c r="A120" s="13">
        <v>45866</v>
      </c>
      <c r="B120" s="6" t="s">
        <v>44</v>
      </c>
      <c r="C120" s="6" t="s">
        <v>54</v>
      </c>
      <c r="D120" s="6" t="s">
        <v>54</v>
      </c>
      <c r="E120" s="6" t="s">
        <v>42</v>
      </c>
      <c r="F120" s="6">
        <v>132</v>
      </c>
      <c r="G120" s="14">
        <v>131954</v>
      </c>
      <c r="H120" s="15">
        <v>0.51176840138822421</v>
      </c>
      <c r="I120" s="6">
        <v>64</v>
      </c>
      <c r="J120" s="6" t="s">
        <v>43</v>
      </c>
    </row>
    <row r="121" spans="1:10" x14ac:dyDescent="0.15">
      <c r="A121" s="13">
        <v>45867</v>
      </c>
      <c r="B121" s="6" t="s">
        <v>29</v>
      </c>
      <c r="C121" s="6" t="s">
        <v>50</v>
      </c>
      <c r="D121" s="6" t="s">
        <v>50</v>
      </c>
      <c r="E121" s="6" t="s">
        <v>49</v>
      </c>
      <c r="F121" s="6">
        <v>105</v>
      </c>
      <c r="G121" s="14">
        <v>107718</v>
      </c>
      <c r="H121" s="15">
        <v>0.36775424550162999</v>
      </c>
      <c r="I121" s="6">
        <v>55</v>
      </c>
      <c r="J121" s="6" t="s">
        <v>32</v>
      </c>
    </row>
    <row r="122" spans="1:10" x14ac:dyDescent="0.15">
      <c r="A122" s="13">
        <v>45868</v>
      </c>
      <c r="B122" s="6" t="s">
        <v>33</v>
      </c>
      <c r="C122" s="6" t="s">
        <v>47</v>
      </c>
      <c r="D122" s="6" t="s">
        <v>47</v>
      </c>
      <c r="E122" s="6" t="s">
        <v>31</v>
      </c>
      <c r="F122" s="6">
        <v>119</v>
      </c>
      <c r="G122" s="14">
        <v>138575</v>
      </c>
      <c r="H122" s="15">
        <v>0.44541809552748829</v>
      </c>
      <c r="I122" s="6">
        <v>71</v>
      </c>
      <c r="J122" s="6" t="s">
        <v>43</v>
      </c>
    </row>
    <row r="123" spans="1:10" x14ac:dyDescent="0.15">
      <c r="A123" s="13">
        <v>45869</v>
      </c>
      <c r="B123" s="6" t="s">
        <v>34</v>
      </c>
      <c r="C123" s="6" t="s">
        <v>51</v>
      </c>
      <c r="D123" s="6" t="s">
        <v>51</v>
      </c>
      <c r="E123" s="6" t="s">
        <v>38</v>
      </c>
      <c r="F123" s="6">
        <v>169</v>
      </c>
      <c r="G123" s="14">
        <v>229648</v>
      </c>
      <c r="H123" s="15">
        <v>0.67383706232010021</v>
      </c>
      <c r="I123" s="6">
        <v>72</v>
      </c>
      <c r="J123" s="6" t="s">
        <v>43</v>
      </c>
    </row>
    <row r="124" spans="1:10" x14ac:dyDescent="0.15">
      <c r="A124" s="13">
        <v>45870</v>
      </c>
      <c r="B124" s="6" t="s">
        <v>36</v>
      </c>
      <c r="C124" s="6" t="s">
        <v>54</v>
      </c>
      <c r="D124" s="6" t="s">
        <v>54</v>
      </c>
      <c r="E124" s="6" t="s">
        <v>42</v>
      </c>
      <c r="F124" s="6">
        <v>127</v>
      </c>
      <c r="G124" s="14">
        <v>146547</v>
      </c>
      <c r="H124" s="15">
        <v>0.53184668253607303</v>
      </c>
      <c r="I124" s="6">
        <v>59</v>
      </c>
      <c r="J124" s="6" t="s">
        <v>39</v>
      </c>
    </row>
    <row r="125" spans="1:10" x14ac:dyDescent="0.15">
      <c r="A125" s="13">
        <v>45871</v>
      </c>
      <c r="B125" s="6" t="s">
        <v>40</v>
      </c>
      <c r="C125" s="6" t="s">
        <v>51</v>
      </c>
      <c r="D125" s="6" t="s">
        <v>51</v>
      </c>
      <c r="E125" s="6" t="s">
        <v>31</v>
      </c>
      <c r="F125" s="6">
        <v>190</v>
      </c>
      <c r="G125" s="14">
        <v>220770</v>
      </c>
      <c r="H125" s="15">
        <v>0.82157291386219378</v>
      </c>
      <c r="I125" s="6">
        <v>75</v>
      </c>
      <c r="J125" s="6" t="s">
        <v>43</v>
      </c>
    </row>
    <row r="126" spans="1:10" x14ac:dyDescent="0.15">
      <c r="A126" s="13">
        <v>45872</v>
      </c>
      <c r="B126" s="6" t="s">
        <v>41</v>
      </c>
      <c r="C126" s="6" t="s">
        <v>30</v>
      </c>
      <c r="D126" s="6" t="s">
        <v>30</v>
      </c>
      <c r="E126" s="6" t="s">
        <v>31</v>
      </c>
      <c r="F126" s="6">
        <v>176</v>
      </c>
      <c r="G126" s="14">
        <v>220858</v>
      </c>
      <c r="H126" s="15">
        <v>0.6374638559821838</v>
      </c>
      <c r="I126" s="6">
        <v>81</v>
      </c>
      <c r="J126" s="6" t="s">
        <v>43</v>
      </c>
    </row>
    <row r="127" spans="1:10" x14ac:dyDescent="0.15">
      <c r="A127" s="13">
        <v>45873</v>
      </c>
      <c r="B127" s="6" t="s">
        <v>44</v>
      </c>
      <c r="C127" s="6" t="s">
        <v>50</v>
      </c>
      <c r="D127" s="6" t="s">
        <v>50</v>
      </c>
      <c r="E127" s="6" t="s">
        <v>42</v>
      </c>
      <c r="F127" s="6">
        <v>127</v>
      </c>
      <c r="G127" s="14">
        <v>156642</v>
      </c>
      <c r="H127" s="15">
        <v>0.56024691657083214</v>
      </c>
      <c r="I127" s="6">
        <v>70</v>
      </c>
      <c r="J127" s="6" t="s">
        <v>43</v>
      </c>
    </row>
    <row r="128" spans="1:10" x14ac:dyDescent="0.15">
      <c r="A128" s="13">
        <v>45874</v>
      </c>
      <c r="B128" s="6" t="s">
        <v>29</v>
      </c>
      <c r="C128" s="6" t="s">
        <v>45</v>
      </c>
      <c r="D128" s="6" t="s">
        <v>45</v>
      </c>
      <c r="E128" s="6" t="s">
        <v>49</v>
      </c>
      <c r="F128" s="6">
        <v>149</v>
      </c>
      <c r="G128" s="14">
        <v>171700</v>
      </c>
      <c r="H128" s="15">
        <v>0.55774763819606565</v>
      </c>
      <c r="I128" s="6">
        <v>60</v>
      </c>
      <c r="J128" s="6" t="s">
        <v>32</v>
      </c>
    </row>
    <row r="129" spans="1:10" x14ac:dyDescent="0.15">
      <c r="A129" s="13">
        <v>45875</v>
      </c>
      <c r="B129" s="6" t="s">
        <v>33</v>
      </c>
      <c r="C129" s="6" t="s">
        <v>46</v>
      </c>
      <c r="D129" s="6" t="s">
        <v>46</v>
      </c>
      <c r="E129" s="6" t="s">
        <v>31</v>
      </c>
      <c r="F129" s="6">
        <v>155</v>
      </c>
      <c r="G129" s="14">
        <v>202271</v>
      </c>
      <c r="H129" s="15">
        <v>0.65606377813815397</v>
      </c>
      <c r="I129" s="6">
        <v>81</v>
      </c>
      <c r="J129" s="6" t="s">
        <v>32</v>
      </c>
    </row>
    <row r="130" spans="1:10" x14ac:dyDescent="0.15">
      <c r="A130" s="13">
        <v>45876</v>
      </c>
      <c r="B130" s="6" t="s">
        <v>34</v>
      </c>
      <c r="C130" s="6" t="s">
        <v>47</v>
      </c>
      <c r="D130" s="6" t="s">
        <v>47</v>
      </c>
      <c r="E130" s="6" t="s">
        <v>49</v>
      </c>
      <c r="F130" s="6">
        <v>101</v>
      </c>
      <c r="G130" s="14">
        <v>102823</v>
      </c>
      <c r="H130" s="15">
        <v>0.42286121596393911</v>
      </c>
      <c r="I130" s="6">
        <v>65</v>
      </c>
      <c r="J130" s="6" t="s">
        <v>32</v>
      </c>
    </row>
    <row r="131" spans="1:10" x14ac:dyDescent="0.15">
      <c r="A131" s="13">
        <v>45877</v>
      </c>
      <c r="B131" s="6" t="s">
        <v>36</v>
      </c>
      <c r="C131" s="6" t="s">
        <v>53</v>
      </c>
      <c r="D131" s="6" t="s">
        <v>53</v>
      </c>
      <c r="E131" s="6" t="s">
        <v>31</v>
      </c>
      <c r="F131" s="6">
        <v>79</v>
      </c>
      <c r="G131" s="14">
        <v>73571</v>
      </c>
      <c r="H131" s="15">
        <v>0.32</v>
      </c>
      <c r="I131" s="6">
        <v>82</v>
      </c>
      <c r="J131" s="6" t="s">
        <v>32</v>
      </c>
    </row>
    <row r="132" spans="1:10" x14ac:dyDescent="0.15">
      <c r="A132" s="13">
        <v>45878</v>
      </c>
      <c r="B132" s="6" t="s">
        <v>40</v>
      </c>
      <c r="C132" s="6" t="s">
        <v>51</v>
      </c>
      <c r="D132" s="6" t="s">
        <v>51</v>
      </c>
      <c r="E132" s="6" t="s">
        <v>31</v>
      </c>
      <c r="F132" s="6">
        <v>175</v>
      </c>
      <c r="G132" s="14">
        <v>212671</v>
      </c>
      <c r="H132" s="15">
        <v>0.65581813594494576</v>
      </c>
      <c r="I132" s="6">
        <v>68</v>
      </c>
      <c r="J132" s="6" t="s">
        <v>43</v>
      </c>
    </row>
    <row r="133" spans="1:10" x14ac:dyDescent="0.15">
      <c r="A133" s="13">
        <v>45879</v>
      </c>
      <c r="B133" s="6" t="s">
        <v>41</v>
      </c>
      <c r="C133" s="6" t="s">
        <v>50</v>
      </c>
      <c r="D133" s="6" t="s">
        <v>50</v>
      </c>
      <c r="E133" s="6" t="s">
        <v>49</v>
      </c>
      <c r="F133" s="6">
        <v>128</v>
      </c>
      <c r="G133" s="14">
        <v>158012</v>
      </c>
      <c r="H133" s="15">
        <v>0.51457745268318655</v>
      </c>
      <c r="I133" s="6">
        <v>60</v>
      </c>
      <c r="J133" s="6" t="s">
        <v>32</v>
      </c>
    </row>
    <row r="134" spans="1:10" x14ac:dyDescent="0.15">
      <c r="A134" s="13">
        <v>45880</v>
      </c>
      <c r="B134" s="6" t="s">
        <v>44</v>
      </c>
      <c r="C134" s="6" t="s">
        <v>30</v>
      </c>
      <c r="D134" s="6" t="s">
        <v>30</v>
      </c>
      <c r="E134" s="6" t="s">
        <v>42</v>
      </c>
      <c r="F134" s="6">
        <v>164</v>
      </c>
      <c r="G134" s="14">
        <v>191352</v>
      </c>
      <c r="H134" s="15">
        <v>0.66249759170423783</v>
      </c>
      <c r="I134" s="6">
        <v>79</v>
      </c>
      <c r="J134" s="6" t="s">
        <v>32</v>
      </c>
    </row>
    <row r="135" spans="1:10" x14ac:dyDescent="0.15">
      <c r="A135" s="13">
        <v>45881</v>
      </c>
      <c r="B135" s="6" t="s">
        <v>29</v>
      </c>
      <c r="C135" s="6" t="s">
        <v>52</v>
      </c>
      <c r="D135" s="6" t="s">
        <v>52</v>
      </c>
      <c r="E135" s="6" t="s">
        <v>42</v>
      </c>
      <c r="F135" s="6">
        <v>161</v>
      </c>
      <c r="G135" s="14">
        <v>191576</v>
      </c>
      <c r="H135" s="15">
        <v>0.62864207222909763</v>
      </c>
      <c r="I135" s="6">
        <v>64</v>
      </c>
      <c r="J135" s="6" t="s">
        <v>32</v>
      </c>
    </row>
    <row r="136" spans="1:10" x14ac:dyDescent="0.15">
      <c r="A136" s="13">
        <v>45882</v>
      </c>
      <c r="B136" s="6" t="s">
        <v>33</v>
      </c>
      <c r="C136" s="6" t="s">
        <v>51</v>
      </c>
      <c r="D136" s="6" t="s">
        <v>51</v>
      </c>
      <c r="E136" s="6" t="s">
        <v>38</v>
      </c>
      <c r="F136" s="6">
        <v>125</v>
      </c>
      <c r="G136" s="14">
        <v>149630</v>
      </c>
      <c r="H136" s="15">
        <v>0.53490441861426208</v>
      </c>
      <c r="I136" s="6">
        <v>88</v>
      </c>
      <c r="J136" s="6" t="s">
        <v>32</v>
      </c>
    </row>
    <row r="137" spans="1:10" x14ac:dyDescent="0.15">
      <c r="A137" s="13">
        <v>45883</v>
      </c>
      <c r="B137" s="6" t="s">
        <v>34</v>
      </c>
      <c r="C137" s="6" t="s">
        <v>35</v>
      </c>
      <c r="D137" s="6" t="s">
        <v>35</v>
      </c>
      <c r="E137" s="6" t="s">
        <v>49</v>
      </c>
      <c r="F137" s="6">
        <v>153</v>
      </c>
      <c r="G137" s="14">
        <v>188586</v>
      </c>
      <c r="H137" s="15">
        <v>0.58670470678511932</v>
      </c>
      <c r="I137" s="6">
        <v>82</v>
      </c>
      <c r="J137" s="6" t="s">
        <v>39</v>
      </c>
    </row>
    <row r="138" spans="1:10" x14ac:dyDescent="0.15">
      <c r="A138" s="13">
        <v>45884</v>
      </c>
      <c r="B138" s="6" t="s">
        <v>36</v>
      </c>
      <c r="C138" s="6" t="s">
        <v>30</v>
      </c>
      <c r="D138" s="6" t="s">
        <v>30</v>
      </c>
      <c r="E138" s="6" t="s">
        <v>49</v>
      </c>
      <c r="F138" s="6">
        <v>129</v>
      </c>
      <c r="G138" s="14">
        <v>160475</v>
      </c>
      <c r="H138" s="15">
        <v>0.47939221199499288</v>
      </c>
      <c r="I138" s="6">
        <v>71</v>
      </c>
      <c r="J138" s="6" t="s">
        <v>32</v>
      </c>
    </row>
    <row r="139" spans="1:10" x14ac:dyDescent="0.15">
      <c r="A139" s="13">
        <v>45885</v>
      </c>
      <c r="B139" s="6" t="s">
        <v>40</v>
      </c>
      <c r="C139" s="6" t="s">
        <v>47</v>
      </c>
      <c r="D139" s="6" t="s">
        <v>47</v>
      </c>
      <c r="E139" s="6" t="s">
        <v>49</v>
      </c>
      <c r="F139" s="6">
        <v>78</v>
      </c>
      <c r="G139" s="14">
        <v>100883</v>
      </c>
      <c r="H139" s="15">
        <v>0.33708318711523722</v>
      </c>
      <c r="I139" s="6">
        <v>71</v>
      </c>
      <c r="J139" s="6" t="s">
        <v>39</v>
      </c>
    </row>
    <row r="140" spans="1:10" x14ac:dyDescent="0.15">
      <c r="A140" s="13">
        <v>45886</v>
      </c>
      <c r="B140" s="6" t="s">
        <v>41</v>
      </c>
      <c r="C140" s="6" t="s">
        <v>54</v>
      </c>
      <c r="D140" s="6" t="s">
        <v>54</v>
      </c>
      <c r="E140" s="6" t="s">
        <v>42</v>
      </c>
      <c r="F140" s="6">
        <v>113</v>
      </c>
      <c r="G140" s="14">
        <v>119577</v>
      </c>
      <c r="H140" s="15">
        <v>0.45949982966277753</v>
      </c>
      <c r="I140" s="6">
        <v>65</v>
      </c>
      <c r="J140" s="6" t="s">
        <v>32</v>
      </c>
    </row>
    <row r="141" spans="1:10" x14ac:dyDescent="0.15">
      <c r="A141" s="13">
        <v>45887</v>
      </c>
      <c r="B141" s="6" t="s">
        <v>44</v>
      </c>
      <c r="C141" s="6" t="s">
        <v>47</v>
      </c>
      <c r="D141" s="6" t="s">
        <v>47</v>
      </c>
      <c r="E141" s="6" t="s">
        <v>31</v>
      </c>
      <c r="F141" s="6">
        <v>97</v>
      </c>
      <c r="G141" s="14">
        <v>104219</v>
      </c>
      <c r="H141" s="15">
        <v>0.36500293527649991</v>
      </c>
      <c r="I141" s="6">
        <v>60</v>
      </c>
      <c r="J141" s="6" t="s">
        <v>43</v>
      </c>
    </row>
    <row r="142" spans="1:10" x14ac:dyDescent="0.15">
      <c r="A142" s="13">
        <v>45888</v>
      </c>
      <c r="B142" s="6" t="s">
        <v>29</v>
      </c>
      <c r="C142" s="6" t="s">
        <v>46</v>
      </c>
      <c r="D142" s="6" t="s">
        <v>46</v>
      </c>
      <c r="E142" s="6" t="s">
        <v>31</v>
      </c>
      <c r="F142" s="6">
        <v>161</v>
      </c>
      <c r="G142" s="14">
        <v>190720</v>
      </c>
      <c r="H142" s="15">
        <v>0.57879356441489749</v>
      </c>
      <c r="I142" s="6">
        <v>58</v>
      </c>
      <c r="J142" s="6" t="s">
        <v>32</v>
      </c>
    </row>
    <row r="143" spans="1:10" x14ac:dyDescent="0.15">
      <c r="A143" s="13">
        <v>45889</v>
      </c>
      <c r="B143" s="6" t="s">
        <v>33</v>
      </c>
      <c r="C143" s="6" t="s">
        <v>52</v>
      </c>
      <c r="D143" s="6" t="s">
        <v>52</v>
      </c>
      <c r="E143" s="6" t="s">
        <v>38</v>
      </c>
      <c r="F143" s="6">
        <v>125</v>
      </c>
      <c r="G143" s="14">
        <v>166594</v>
      </c>
      <c r="H143" s="15">
        <v>0.43524012279026281</v>
      </c>
      <c r="I143" s="6">
        <v>85</v>
      </c>
      <c r="J143" s="6" t="s">
        <v>43</v>
      </c>
    </row>
    <row r="144" spans="1:10" x14ac:dyDescent="0.15">
      <c r="A144" s="13">
        <v>45890</v>
      </c>
      <c r="B144" s="6" t="s">
        <v>34</v>
      </c>
      <c r="C144" s="6" t="s">
        <v>37</v>
      </c>
      <c r="D144" s="6" t="s">
        <v>37</v>
      </c>
      <c r="E144" s="6" t="s">
        <v>31</v>
      </c>
      <c r="F144" s="6">
        <v>106</v>
      </c>
      <c r="G144" s="14">
        <v>131045</v>
      </c>
      <c r="H144" s="15">
        <v>0.41924248856464719</v>
      </c>
      <c r="I144" s="6">
        <v>66</v>
      </c>
      <c r="J144" s="6" t="s">
        <v>32</v>
      </c>
    </row>
    <row r="145" spans="1:10" x14ac:dyDescent="0.15">
      <c r="A145" s="13">
        <v>45891</v>
      </c>
      <c r="B145" s="6" t="s">
        <v>36</v>
      </c>
      <c r="C145" s="6" t="s">
        <v>30</v>
      </c>
      <c r="D145" s="6" t="s">
        <v>30</v>
      </c>
      <c r="E145" s="6" t="s">
        <v>49</v>
      </c>
      <c r="F145" s="6">
        <v>158</v>
      </c>
      <c r="G145" s="14">
        <v>181178</v>
      </c>
      <c r="H145" s="15">
        <v>0.61611282248805777</v>
      </c>
      <c r="I145" s="6">
        <v>74</v>
      </c>
      <c r="J145" s="6" t="s">
        <v>43</v>
      </c>
    </row>
    <row r="146" spans="1:10" x14ac:dyDescent="0.15">
      <c r="A146" s="13">
        <v>45892</v>
      </c>
      <c r="B146" s="6" t="s">
        <v>40</v>
      </c>
      <c r="C146" s="6" t="s">
        <v>53</v>
      </c>
      <c r="D146" s="6" t="s">
        <v>53</v>
      </c>
      <c r="E146" s="6" t="s">
        <v>38</v>
      </c>
      <c r="F146" s="6">
        <v>101</v>
      </c>
      <c r="G146" s="14">
        <v>132294</v>
      </c>
      <c r="H146" s="15">
        <v>0.38858735737296862</v>
      </c>
      <c r="I146" s="6">
        <v>53</v>
      </c>
      <c r="J146" s="6" t="s">
        <v>32</v>
      </c>
    </row>
    <row r="147" spans="1:10" x14ac:dyDescent="0.15">
      <c r="A147" s="13">
        <v>45893</v>
      </c>
      <c r="B147" s="6" t="s">
        <v>41</v>
      </c>
      <c r="C147" s="6" t="s">
        <v>47</v>
      </c>
      <c r="D147" s="6" t="s">
        <v>47</v>
      </c>
      <c r="E147" s="6" t="s">
        <v>38</v>
      </c>
      <c r="F147" s="6">
        <v>139</v>
      </c>
      <c r="G147" s="14">
        <v>174062</v>
      </c>
      <c r="H147" s="15">
        <v>0.55724234703107633</v>
      </c>
      <c r="I147" s="6">
        <v>75</v>
      </c>
      <c r="J147" s="6" t="s">
        <v>32</v>
      </c>
    </row>
    <row r="148" spans="1:10" x14ac:dyDescent="0.15">
      <c r="A148" s="13">
        <v>45894</v>
      </c>
      <c r="B148" s="6" t="s">
        <v>44</v>
      </c>
      <c r="C148" s="6" t="s">
        <v>30</v>
      </c>
      <c r="D148" s="6" t="s">
        <v>30</v>
      </c>
      <c r="E148" s="6" t="s">
        <v>38</v>
      </c>
      <c r="F148" s="6">
        <v>159</v>
      </c>
      <c r="G148" s="14">
        <v>178350</v>
      </c>
      <c r="H148" s="15">
        <v>0.63532340624964145</v>
      </c>
      <c r="I148" s="6">
        <v>57</v>
      </c>
      <c r="J148" s="6" t="s">
        <v>32</v>
      </c>
    </row>
    <row r="149" spans="1:10" x14ac:dyDescent="0.15">
      <c r="A149" s="13">
        <v>45895</v>
      </c>
      <c r="B149" s="6" t="s">
        <v>29</v>
      </c>
      <c r="C149" s="6" t="s">
        <v>45</v>
      </c>
      <c r="D149" s="6" t="s">
        <v>45</v>
      </c>
      <c r="E149" s="6" t="s">
        <v>42</v>
      </c>
      <c r="F149" s="6">
        <v>169</v>
      </c>
      <c r="G149" s="14">
        <v>223112</v>
      </c>
      <c r="H149" s="15">
        <v>0.63844768405469676</v>
      </c>
      <c r="I149" s="6">
        <v>78</v>
      </c>
      <c r="J149" s="6" t="s">
        <v>32</v>
      </c>
    </row>
    <row r="150" spans="1:10" x14ac:dyDescent="0.15">
      <c r="A150" s="13">
        <v>45896</v>
      </c>
      <c r="B150" s="6" t="s">
        <v>33</v>
      </c>
      <c r="C150" s="6" t="s">
        <v>53</v>
      </c>
      <c r="D150" s="6" t="s">
        <v>53</v>
      </c>
      <c r="E150" s="6" t="s">
        <v>31</v>
      </c>
      <c r="F150" s="6">
        <v>134</v>
      </c>
      <c r="G150" s="14">
        <v>165131</v>
      </c>
      <c r="H150" s="15">
        <v>0.53050009027380685</v>
      </c>
      <c r="I150" s="6">
        <v>69</v>
      </c>
      <c r="J150" s="6" t="s">
        <v>32</v>
      </c>
    </row>
    <row r="151" spans="1:10" x14ac:dyDescent="0.15">
      <c r="A151" s="13">
        <v>45897</v>
      </c>
      <c r="B151" s="6" t="s">
        <v>34</v>
      </c>
      <c r="C151" s="6" t="s">
        <v>54</v>
      </c>
      <c r="D151" s="6" t="s">
        <v>54</v>
      </c>
      <c r="E151" s="6" t="s">
        <v>42</v>
      </c>
      <c r="F151" s="6">
        <v>98</v>
      </c>
      <c r="G151" s="14">
        <v>124365</v>
      </c>
      <c r="H151" s="15">
        <v>0.36616193276965542</v>
      </c>
      <c r="I151" s="6">
        <v>56</v>
      </c>
      <c r="J151" s="6" t="s">
        <v>32</v>
      </c>
    </row>
    <row r="152" spans="1:10" x14ac:dyDescent="0.15">
      <c r="A152" s="13">
        <v>45898</v>
      </c>
      <c r="B152" s="6" t="s">
        <v>36</v>
      </c>
      <c r="C152" s="6" t="s">
        <v>52</v>
      </c>
      <c r="D152" s="6" t="s">
        <v>52</v>
      </c>
      <c r="E152" s="6" t="s">
        <v>31</v>
      </c>
      <c r="F152" s="6">
        <v>152</v>
      </c>
      <c r="G152" s="14">
        <v>184647</v>
      </c>
      <c r="H152" s="15">
        <v>0.6176190624985366</v>
      </c>
      <c r="I152" s="6">
        <v>82</v>
      </c>
      <c r="J152" s="6" t="s">
        <v>39</v>
      </c>
    </row>
    <row r="153" spans="1:10" x14ac:dyDescent="0.15">
      <c r="A153" s="13">
        <v>45899</v>
      </c>
      <c r="B153" s="6" t="s">
        <v>40</v>
      </c>
      <c r="C153" s="6" t="s">
        <v>48</v>
      </c>
      <c r="D153" s="6" t="s">
        <v>48</v>
      </c>
      <c r="E153" s="6" t="s">
        <v>31</v>
      </c>
      <c r="F153" s="6">
        <v>111</v>
      </c>
      <c r="G153" s="14">
        <v>149781</v>
      </c>
      <c r="H153" s="15">
        <v>0.4549378889928502</v>
      </c>
      <c r="I153" s="6">
        <v>75</v>
      </c>
      <c r="J153" s="6" t="s">
        <v>43</v>
      </c>
    </row>
    <row r="154" spans="1:10" x14ac:dyDescent="0.15">
      <c r="A154" s="13">
        <v>45900</v>
      </c>
      <c r="B154" s="6" t="s">
        <v>41</v>
      </c>
      <c r="C154" s="6" t="s">
        <v>37</v>
      </c>
      <c r="D154" s="6" t="s">
        <v>37</v>
      </c>
      <c r="E154" s="6" t="s">
        <v>42</v>
      </c>
      <c r="F154" s="6">
        <v>138</v>
      </c>
      <c r="G154" s="14">
        <v>167608</v>
      </c>
      <c r="H154" s="15">
        <v>0.52724072194483218</v>
      </c>
      <c r="I154" s="6">
        <v>67</v>
      </c>
      <c r="J154" s="6" t="s">
        <v>43</v>
      </c>
    </row>
    <row r="155" spans="1:10" x14ac:dyDescent="0.15">
      <c r="A155" s="13">
        <v>45901</v>
      </c>
      <c r="B155" s="6" t="s">
        <v>44</v>
      </c>
      <c r="C155" s="6" t="s">
        <v>47</v>
      </c>
      <c r="D155" s="6" t="s">
        <v>47</v>
      </c>
      <c r="E155" s="6" t="s">
        <v>42</v>
      </c>
      <c r="F155" s="6">
        <v>109</v>
      </c>
      <c r="G155" s="14">
        <v>135591</v>
      </c>
      <c r="H155" s="15">
        <v>0.3820873183283563</v>
      </c>
      <c r="I155" s="6">
        <v>68</v>
      </c>
      <c r="J155" s="6" t="s">
        <v>32</v>
      </c>
    </row>
    <row r="156" spans="1:10" x14ac:dyDescent="0.15">
      <c r="A156" s="13">
        <v>45902</v>
      </c>
      <c r="B156" s="6" t="s">
        <v>29</v>
      </c>
      <c r="C156" s="6" t="s">
        <v>47</v>
      </c>
      <c r="D156" s="6" t="s">
        <v>47</v>
      </c>
      <c r="E156" s="6" t="s">
        <v>31</v>
      </c>
      <c r="F156" s="6">
        <v>143</v>
      </c>
      <c r="G156" s="14">
        <v>180615</v>
      </c>
      <c r="H156" s="15">
        <v>0.55656919093286139</v>
      </c>
      <c r="I156" s="6">
        <v>68</v>
      </c>
      <c r="J156" s="6" t="s">
        <v>32</v>
      </c>
    </row>
    <row r="157" spans="1:10" x14ac:dyDescent="0.15">
      <c r="A157" s="13">
        <v>45903</v>
      </c>
      <c r="B157" s="6" t="s">
        <v>33</v>
      </c>
      <c r="C157" s="6" t="s">
        <v>54</v>
      </c>
      <c r="D157" s="6" t="s">
        <v>54</v>
      </c>
      <c r="E157" s="6" t="s">
        <v>31</v>
      </c>
      <c r="F157" s="6">
        <v>102</v>
      </c>
      <c r="G157" s="14">
        <v>107262</v>
      </c>
      <c r="H157" s="15">
        <v>0.39769282988267579</v>
      </c>
      <c r="I157" s="6">
        <v>71</v>
      </c>
      <c r="J157" s="6" t="s">
        <v>43</v>
      </c>
    </row>
    <row r="158" spans="1:10" x14ac:dyDescent="0.15">
      <c r="A158" s="13">
        <v>45904</v>
      </c>
      <c r="B158" s="6" t="s">
        <v>34</v>
      </c>
      <c r="C158" s="6" t="s">
        <v>47</v>
      </c>
      <c r="D158" s="6" t="s">
        <v>47</v>
      </c>
      <c r="E158" s="6" t="s">
        <v>38</v>
      </c>
      <c r="F158" s="6">
        <v>141</v>
      </c>
      <c r="G158" s="14">
        <v>179964</v>
      </c>
      <c r="H158" s="15">
        <v>0.54426678429051722</v>
      </c>
      <c r="I158" s="6">
        <v>78</v>
      </c>
      <c r="J158" s="6" t="s">
        <v>32</v>
      </c>
    </row>
    <row r="159" spans="1:10" x14ac:dyDescent="0.15">
      <c r="A159" s="13">
        <v>45905</v>
      </c>
      <c r="B159" s="6" t="s">
        <v>36</v>
      </c>
      <c r="C159" s="6" t="s">
        <v>47</v>
      </c>
      <c r="D159" s="6" t="s">
        <v>47</v>
      </c>
      <c r="E159" s="6" t="s">
        <v>38</v>
      </c>
      <c r="F159" s="6">
        <v>117</v>
      </c>
      <c r="G159" s="14">
        <v>159752</v>
      </c>
      <c r="H159" s="15">
        <v>0.4939720989035894</v>
      </c>
      <c r="I159" s="6">
        <v>73</v>
      </c>
      <c r="J159" s="6" t="s">
        <v>32</v>
      </c>
    </row>
    <row r="160" spans="1:10" x14ac:dyDescent="0.15">
      <c r="A160" s="13">
        <v>45906</v>
      </c>
      <c r="B160" s="6" t="s">
        <v>40</v>
      </c>
      <c r="C160" s="6" t="s">
        <v>51</v>
      </c>
      <c r="D160" s="6" t="s">
        <v>51</v>
      </c>
      <c r="E160" s="6" t="s">
        <v>31</v>
      </c>
      <c r="F160" s="6">
        <v>164</v>
      </c>
      <c r="G160" s="14">
        <v>210087</v>
      </c>
      <c r="H160" s="15">
        <v>0.64623136421845007</v>
      </c>
      <c r="I160" s="6">
        <v>88</v>
      </c>
      <c r="J160" s="6" t="s">
        <v>32</v>
      </c>
    </row>
    <row r="161" spans="1:10" x14ac:dyDescent="0.15">
      <c r="A161" s="13">
        <v>45907</v>
      </c>
      <c r="B161" s="6" t="s">
        <v>41</v>
      </c>
      <c r="C161" s="6" t="s">
        <v>48</v>
      </c>
      <c r="D161" s="6" t="s">
        <v>48</v>
      </c>
      <c r="E161" s="6" t="s">
        <v>38</v>
      </c>
      <c r="F161" s="6">
        <v>116</v>
      </c>
      <c r="G161" s="14">
        <v>115458</v>
      </c>
      <c r="H161" s="15">
        <v>0.37072498357151579</v>
      </c>
      <c r="I161" s="6">
        <v>75</v>
      </c>
      <c r="J161" s="6" t="s">
        <v>43</v>
      </c>
    </row>
    <row r="162" spans="1:10" x14ac:dyDescent="0.15">
      <c r="A162" s="13">
        <v>45908</v>
      </c>
      <c r="B162" s="6" t="s">
        <v>44</v>
      </c>
      <c r="C162" s="6" t="s">
        <v>52</v>
      </c>
      <c r="D162" s="6" t="s">
        <v>52</v>
      </c>
      <c r="E162" s="6" t="s">
        <v>49</v>
      </c>
      <c r="F162" s="6">
        <v>132</v>
      </c>
      <c r="G162" s="14">
        <v>168668</v>
      </c>
      <c r="H162" s="15">
        <v>0.46534793359187321</v>
      </c>
      <c r="I162" s="6">
        <v>67</v>
      </c>
      <c r="J162" s="6" t="s">
        <v>32</v>
      </c>
    </row>
    <row r="163" spans="1:10" x14ac:dyDescent="0.15">
      <c r="A163" s="13">
        <v>45909</v>
      </c>
      <c r="B163" s="6" t="s">
        <v>29</v>
      </c>
      <c r="C163" s="6" t="s">
        <v>50</v>
      </c>
      <c r="D163" s="6" t="s">
        <v>50</v>
      </c>
      <c r="E163" s="6" t="s">
        <v>31</v>
      </c>
      <c r="F163" s="6">
        <v>106</v>
      </c>
      <c r="G163" s="14">
        <v>126931</v>
      </c>
      <c r="H163" s="15">
        <v>0.38814925920591808</v>
      </c>
      <c r="I163" s="6">
        <v>72</v>
      </c>
      <c r="J163" s="6" t="s">
        <v>32</v>
      </c>
    </row>
    <row r="164" spans="1:10" x14ac:dyDescent="0.15">
      <c r="A164" s="13">
        <v>45910</v>
      </c>
      <c r="B164" s="6" t="s">
        <v>33</v>
      </c>
      <c r="C164" s="6" t="s">
        <v>53</v>
      </c>
      <c r="D164" s="6" t="s">
        <v>53</v>
      </c>
      <c r="E164" s="6" t="s">
        <v>31</v>
      </c>
      <c r="F164" s="6">
        <v>67</v>
      </c>
      <c r="G164" s="14">
        <v>63978</v>
      </c>
      <c r="H164" s="15">
        <v>0.32</v>
      </c>
      <c r="I164" s="6">
        <v>67</v>
      </c>
      <c r="J164" s="6" t="s">
        <v>32</v>
      </c>
    </row>
    <row r="165" spans="1:10" x14ac:dyDescent="0.15">
      <c r="A165" s="13">
        <v>45911</v>
      </c>
      <c r="B165" s="6" t="s">
        <v>34</v>
      </c>
      <c r="C165" s="6" t="s">
        <v>35</v>
      </c>
      <c r="D165" s="6" t="s">
        <v>35</v>
      </c>
      <c r="E165" s="6" t="s">
        <v>42</v>
      </c>
      <c r="F165" s="6">
        <v>169</v>
      </c>
      <c r="G165" s="14">
        <v>206112</v>
      </c>
      <c r="H165" s="15">
        <v>0.67493325559989814</v>
      </c>
      <c r="I165" s="6">
        <v>63</v>
      </c>
      <c r="J165" s="6" t="s">
        <v>32</v>
      </c>
    </row>
    <row r="166" spans="1:10" x14ac:dyDescent="0.15">
      <c r="A166" s="13">
        <v>45912</v>
      </c>
      <c r="B166" s="6" t="s">
        <v>36</v>
      </c>
      <c r="C166" s="6" t="s">
        <v>46</v>
      </c>
      <c r="D166" s="6" t="s">
        <v>46</v>
      </c>
      <c r="E166" s="6" t="s">
        <v>38</v>
      </c>
      <c r="F166" s="6">
        <v>155</v>
      </c>
      <c r="G166" s="14">
        <v>201976</v>
      </c>
      <c r="H166" s="15">
        <v>0.55662951380870018</v>
      </c>
      <c r="I166" s="6">
        <v>75</v>
      </c>
      <c r="J166" s="6" t="s">
        <v>32</v>
      </c>
    </row>
    <row r="167" spans="1:10" x14ac:dyDescent="0.15">
      <c r="A167" s="13">
        <v>45913</v>
      </c>
      <c r="B167" s="6" t="s">
        <v>40</v>
      </c>
      <c r="C167" s="6" t="s">
        <v>37</v>
      </c>
      <c r="D167" s="6" t="s">
        <v>37</v>
      </c>
      <c r="E167" s="6" t="s">
        <v>38</v>
      </c>
      <c r="F167" s="6">
        <v>95</v>
      </c>
      <c r="G167" s="14">
        <v>126508</v>
      </c>
      <c r="H167" s="15">
        <v>0.36042510283664447</v>
      </c>
      <c r="I167" s="6">
        <v>65</v>
      </c>
      <c r="J167" s="6" t="s">
        <v>43</v>
      </c>
    </row>
    <row r="168" spans="1:10" x14ac:dyDescent="0.15">
      <c r="A168" s="13">
        <v>45914</v>
      </c>
      <c r="B168" s="6" t="s">
        <v>41</v>
      </c>
      <c r="C168" s="6" t="s">
        <v>46</v>
      </c>
      <c r="D168" s="6" t="s">
        <v>46</v>
      </c>
      <c r="E168" s="6" t="s">
        <v>49</v>
      </c>
      <c r="F168" s="6">
        <v>150</v>
      </c>
      <c r="G168" s="14">
        <v>178774</v>
      </c>
      <c r="H168" s="15">
        <v>0.57606582035047338</v>
      </c>
      <c r="I168" s="6">
        <v>87</v>
      </c>
      <c r="J168" s="6" t="s">
        <v>32</v>
      </c>
    </row>
    <row r="169" spans="1:10" x14ac:dyDescent="0.15">
      <c r="A169" s="13">
        <v>45915</v>
      </c>
      <c r="B169" s="6" t="s">
        <v>44</v>
      </c>
      <c r="C169" s="6" t="s">
        <v>35</v>
      </c>
      <c r="D169" s="6" t="s">
        <v>35</v>
      </c>
      <c r="E169" s="6" t="s">
        <v>49</v>
      </c>
      <c r="F169" s="6">
        <v>163</v>
      </c>
      <c r="G169" s="14">
        <v>196953</v>
      </c>
      <c r="H169" s="15">
        <v>0.59822484054000002</v>
      </c>
      <c r="I169" s="6">
        <v>68</v>
      </c>
      <c r="J169" s="6" t="s">
        <v>32</v>
      </c>
    </row>
    <row r="170" spans="1:10" x14ac:dyDescent="0.15">
      <c r="A170" s="13">
        <v>45916</v>
      </c>
      <c r="B170" s="6" t="s">
        <v>29</v>
      </c>
      <c r="C170" s="6" t="s">
        <v>50</v>
      </c>
      <c r="D170" s="6" t="s">
        <v>50</v>
      </c>
      <c r="E170" s="6" t="s">
        <v>31</v>
      </c>
      <c r="F170" s="6">
        <v>86</v>
      </c>
      <c r="G170" s="14">
        <v>96104</v>
      </c>
      <c r="H170" s="15">
        <v>0.32210578812253032</v>
      </c>
      <c r="I170" s="6">
        <v>71</v>
      </c>
      <c r="J170" s="6" t="s">
        <v>32</v>
      </c>
    </row>
    <row r="171" spans="1:10" x14ac:dyDescent="0.15">
      <c r="A171" s="13">
        <v>45917</v>
      </c>
      <c r="B171" s="6" t="s">
        <v>33</v>
      </c>
      <c r="C171" s="6" t="s">
        <v>37</v>
      </c>
      <c r="D171" s="6" t="s">
        <v>37</v>
      </c>
      <c r="E171" s="6" t="s">
        <v>42</v>
      </c>
      <c r="F171" s="6">
        <v>125</v>
      </c>
      <c r="G171" s="14">
        <v>149928</v>
      </c>
      <c r="H171" s="15">
        <v>0.51128159998042833</v>
      </c>
      <c r="I171" s="6">
        <v>65</v>
      </c>
      <c r="J171" s="6" t="s">
        <v>39</v>
      </c>
    </row>
    <row r="172" spans="1:10" x14ac:dyDescent="0.15">
      <c r="A172" s="13">
        <v>45918</v>
      </c>
      <c r="B172" s="6" t="s">
        <v>34</v>
      </c>
      <c r="C172" s="6" t="s">
        <v>35</v>
      </c>
      <c r="D172" s="6" t="s">
        <v>35</v>
      </c>
      <c r="E172" s="6" t="s">
        <v>38</v>
      </c>
      <c r="F172" s="6">
        <v>158</v>
      </c>
      <c r="G172" s="14">
        <v>204229</v>
      </c>
      <c r="H172" s="15">
        <v>0.61757720311130671</v>
      </c>
      <c r="I172" s="6">
        <v>68</v>
      </c>
      <c r="J172" s="6" t="s">
        <v>32</v>
      </c>
    </row>
    <row r="173" spans="1:10" x14ac:dyDescent="0.15">
      <c r="A173" s="13">
        <v>45919</v>
      </c>
      <c r="B173" s="6" t="s">
        <v>36</v>
      </c>
      <c r="C173" s="6" t="s">
        <v>35</v>
      </c>
      <c r="D173" s="6" t="s">
        <v>35</v>
      </c>
      <c r="E173" s="6" t="s">
        <v>31</v>
      </c>
      <c r="F173" s="6">
        <v>141</v>
      </c>
      <c r="G173" s="14">
        <v>170854</v>
      </c>
      <c r="H173" s="15">
        <v>0.5649459655829524</v>
      </c>
      <c r="I173" s="6">
        <v>89</v>
      </c>
      <c r="J173" s="6" t="s">
        <v>32</v>
      </c>
    </row>
    <row r="174" spans="1:10" x14ac:dyDescent="0.15">
      <c r="A174" s="13">
        <v>45920</v>
      </c>
      <c r="B174" s="6" t="s">
        <v>40</v>
      </c>
      <c r="C174" s="6" t="s">
        <v>30</v>
      </c>
      <c r="D174" s="6" t="s">
        <v>30</v>
      </c>
      <c r="E174" s="6" t="s">
        <v>31</v>
      </c>
      <c r="F174" s="6">
        <v>143</v>
      </c>
      <c r="G174" s="14">
        <v>184036</v>
      </c>
      <c r="H174" s="15">
        <v>0.55296909676708716</v>
      </c>
      <c r="I174" s="6">
        <v>80</v>
      </c>
      <c r="J174" s="6" t="s">
        <v>43</v>
      </c>
    </row>
    <row r="175" spans="1:10" x14ac:dyDescent="0.15">
      <c r="A175" s="13">
        <v>45921</v>
      </c>
      <c r="B175" s="6" t="s">
        <v>41</v>
      </c>
      <c r="C175" s="6" t="s">
        <v>52</v>
      </c>
      <c r="D175" s="6" t="s">
        <v>52</v>
      </c>
      <c r="E175" s="6" t="s">
        <v>31</v>
      </c>
      <c r="F175" s="6">
        <v>146</v>
      </c>
      <c r="G175" s="14">
        <v>178849</v>
      </c>
      <c r="H175" s="15">
        <v>0.57571863489301889</v>
      </c>
      <c r="I175" s="6">
        <v>69</v>
      </c>
      <c r="J175" s="6" t="s">
        <v>32</v>
      </c>
    </row>
    <row r="176" spans="1:10" x14ac:dyDescent="0.15">
      <c r="A176" s="13">
        <v>45922</v>
      </c>
      <c r="B176" s="6" t="s">
        <v>44</v>
      </c>
      <c r="C176" s="6" t="s">
        <v>54</v>
      </c>
      <c r="D176" s="6" t="s">
        <v>54</v>
      </c>
      <c r="E176" s="6" t="s">
        <v>42</v>
      </c>
      <c r="F176" s="6">
        <v>109</v>
      </c>
      <c r="G176" s="14">
        <v>106861</v>
      </c>
      <c r="H176" s="15">
        <v>0.38278233942287582</v>
      </c>
      <c r="I176" s="6">
        <v>69</v>
      </c>
      <c r="J176" s="6" t="s">
        <v>32</v>
      </c>
    </row>
    <row r="177" spans="1:10" x14ac:dyDescent="0.15">
      <c r="A177" s="13">
        <v>45923</v>
      </c>
      <c r="B177" s="6" t="s">
        <v>29</v>
      </c>
      <c r="C177" s="6" t="s">
        <v>47</v>
      </c>
      <c r="D177" s="6" t="s">
        <v>47</v>
      </c>
      <c r="E177" s="6" t="s">
        <v>49</v>
      </c>
      <c r="F177" s="6">
        <v>129</v>
      </c>
      <c r="G177" s="14">
        <v>157932</v>
      </c>
      <c r="H177" s="15">
        <v>0.43979392084140861</v>
      </c>
      <c r="I177" s="6">
        <v>81</v>
      </c>
      <c r="J177" s="6" t="s">
        <v>32</v>
      </c>
    </row>
    <row r="178" spans="1:10" x14ac:dyDescent="0.15">
      <c r="A178" s="13">
        <v>45924</v>
      </c>
      <c r="B178" s="6" t="s">
        <v>33</v>
      </c>
      <c r="C178" s="6" t="s">
        <v>52</v>
      </c>
      <c r="D178" s="6" t="s">
        <v>52</v>
      </c>
      <c r="E178" s="6" t="s">
        <v>38</v>
      </c>
      <c r="F178" s="6">
        <v>144</v>
      </c>
      <c r="G178" s="14">
        <v>204347</v>
      </c>
      <c r="H178" s="15">
        <v>0.57641663594098624</v>
      </c>
      <c r="I178" s="6">
        <v>84</v>
      </c>
      <c r="J178" s="6" t="s">
        <v>32</v>
      </c>
    </row>
    <row r="179" spans="1:10" x14ac:dyDescent="0.15">
      <c r="A179" s="13">
        <v>45925</v>
      </c>
      <c r="B179" s="6" t="s">
        <v>34</v>
      </c>
      <c r="C179" s="6" t="s">
        <v>46</v>
      </c>
      <c r="D179" s="6" t="s">
        <v>46</v>
      </c>
      <c r="E179" s="6" t="s">
        <v>42</v>
      </c>
      <c r="F179" s="6">
        <v>138</v>
      </c>
      <c r="G179" s="14">
        <v>174505</v>
      </c>
      <c r="H179" s="15">
        <v>0.50647857128424667</v>
      </c>
      <c r="I179" s="6">
        <v>77</v>
      </c>
      <c r="J179" s="6" t="s">
        <v>32</v>
      </c>
    </row>
    <row r="180" spans="1:10" x14ac:dyDescent="0.15">
      <c r="A180" s="13">
        <v>45926</v>
      </c>
      <c r="B180" s="6" t="s">
        <v>36</v>
      </c>
      <c r="C180" s="6" t="s">
        <v>45</v>
      </c>
      <c r="D180" s="6" t="s">
        <v>45</v>
      </c>
      <c r="E180" s="6" t="s">
        <v>49</v>
      </c>
      <c r="F180" s="6">
        <v>150</v>
      </c>
      <c r="G180" s="14">
        <v>187979</v>
      </c>
      <c r="H180" s="15">
        <v>0.56996539127619206</v>
      </c>
      <c r="I180" s="6">
        <v>64</v>
      </c>
      <c r="J180" s="6" t="s">
        <v>32</v>
      </c>
    </row>
    <row r="181" spans="1:10" x14ac:dyDescent="0.15">
      <c r="A181" s="13">
        <v>45927</v>
      </c>
      <c r="B181" s="6" t="s">
        <v>40</v>
      </c>
      <c r="C181" s="6" t="s">
        <v>47</v>
      </c>
      <c r="D181" s="6" t="s">
        <v>47</v>
      </c>
      <c r="E181" s="6" t="s">
        <v>49</v>
      </c>
      <c r="F181" s="6">
        <v>136</v>
      </c>
      <c r="G181" s="14">
        <v>155108</v>
      </c>
      <c r="H181" s="15">
        <v>0.55187545965957496</v>
      </c>
      <c r="I181" s="6">
        <v>56</v>
      </c>
      <c r="J181" s="6" t="s">
        <v>39</v>
      </c>
    </row>
    <row r="182" spans="1:10" x14ac:dyDescent="0.15">
      <c r="A182" s="13">
        <v>45928</v>
      </c>
      <c r="B182" s="6" t="s">
        <v>41</v>
      </c>
      <c r="C182" s="6" t="s">
        <v>45</v>
      </c>
      <c r="D182" s="6" t="s">
        <v>45</v>
      </c>
      <c r="E182" s="6" t="s">
        <v>38</v>
      </c>
      <c r="F182" s="6">
        <v>178</v>
      </c>
      <c r="G182" s="14">
        <v>218156</v>
      </c>
      <c r="H182" s="15">
        <v>0.73365056922357264</v>
      </c>
      <c r="I182" s="6">
        <v>87</v>
      </c>
      <c r="J182" s="6" t="s">
        <v>39</v>
      </c>
    </row>
    <row r="183" spans="1:10" x14ac:dyDescent="0.15">
      <c r="A183" s="13">
        <v>45929</v>
      </c>
      <c r="B183" s="6" t="s">
        <v>44</v>
      </c>
      <c r="C183" s="6" t="s">
        <v>51</v>
      </c>
      <c r="D183" s="6" t="s">
        <v>51</v>
      </c>
      <c r="E183" s="6" t="s">
        <v>49</v>
      </c>
      <c r="F183" s="6">
        <v>147</v>
      </c>
      <c r="G183" s="14">
        <v>185841</v>
      </c>
      <c r="H183" s="15">
        <v>0.51090654285003145</v>
      </c>
      <c r="I183" s="6">
        <v>84</v>
      </c>
      <c r="J183" s="6" t="s">
        <v>39</v>
      </c>
    </row>
    <row r="184" spans="1:10" x14ac:dyDescent="0.15">
      <c r="A184" s="13">
        <v>45930</v>
      </c>
      <c r="B184" s="6" t="s">
        <v>29</v>
      </c>
      <c r="C184" s="6" t="s">
        <v>53</v>
      </c>
      <c r="D184" s="6" t="s">
        <v>53</v>
      </c>
      <c r="E184" s="6" t="s">
        <v>31</v>
      </c>
      <c r="F184" s="6">
        <v>102</v>
      </c>
      <c r="G184" s="14">
        <v>118092</v>
      </c>
      <c r="H184" s="15">
        <v>0.36637871041060732</v>
      </c>
      <c r="I184" s="6">
        <v>69</v>
      </c>
      <c r="J184" s="6" t="s">
        <v>32</v>
      </c>
    </row>
    <row r="185" spans="1:10" x14ac:dyDescent="0.15">
      <c r="A185" s="13">
        <v>45931</v>
      </c>
      <c r="B185" s="6" t="s">
        <v>33</v>
      </c>
      <c r="C185" s="6" t="s">
        <v>30</v>
      </c>
      <c r="D185" s="6" t="s">
        <v>30</v>
      </c>
      <c r="E185" s="6" t="s">
        <v>38</v>
      </c>
      <c r="F185" s="6">
        <v>143</v>
      </c>
      <c r="G185" s="14">
        <v>168580</v>
      </c>
      <c r="H185" s="15">
        <v>0.50522670677205161</v>
      </c>
      <c r="I185" s="6">
        <v>77</v>
      </c>
      <c r="J185" s="6" t="s">
        <v>32</v>
      </c>
    </row>
    <row r="186" spans="1:10" x14ac:dyDescent="0.15">
      <c r="A186" s="13">
        <v>45932</v>
      </c>
      <c r="B186" s="6" t="s">
        <v>34</v>
      </c>
      <c r="C186" s="6" t="s">
        <v>46</v>
      </c>
      <c r="D186" s="6" t="s">
        <v>46</v>
      </c>
      <c r="E186" s="6" t="s">
        <v>31</v>
      </c>
      <c r="F186" s="6">
        <v>175</v>
      </c>
      <c r="G186" s="14">
        <v>209159</v>
      </c>
      <c r="H186" s="15">
        <v>0.68252599249678902</v>
      </c>
      <c r="I186" s="6">
        <v>62</v>
      </c>
      <c r="J186" s="6" t="s">
        <v>32</v>
      </c>
    </row>
    <row r="187" spans="1:10" x14ac:dyDescent="0.15">
      <c r="A187" s="13">
        <v>45933</v>
      </c>
      <c r="B187" s="6" t="s">
        <v>36</v>
      </c>
      <c r="C187" s="6" t="s">
        <v>46</v>
      </c>
      <c r="D187" s="6" t="s">
        <v>46</v>
      </c>
      <c r="E187" s="6" t="s">
        <v>42</v>
      </c>
      <c r="F187" s="6">
        <v>120</v>
      </c>
      <c r="G187" s="14">
        <v>120956</v>
      </c>
      <c r="H187" s="15">
        <v>0.46139320117240029</v>
      </c>
      <c r="I187" s="6">
        <v>73</v>
      </c>
      <c r="J187" s="6" t="s">
        <v>32</v>
      </c>
    </row>
    <row r="188" spans="1:10" x14ac:dyDescent="0.15">
      <c r="A188" s="13">
        <v>45934</v>
      </c>
      <c r="B188" s="6" t="s">
        <v>40</v>
      </c>
      <c r="C188" s="6" t="s">
        <v>30</v>
      </c>
      <c r="D188" s="6" t="s">
        <v>30</v>
      </c>
      <c r="E188" s="6" t="s">
        <v>42</v>
      </c>
      <c r="F188" s="6">
        <v>170</v>
      </c>
      <c r="G188" s="14">
        <v>188016</v>
      </c>
      <c r="H188" s="15">
        <v>0.64862265788738172</v>
      </c>
      <c r="I188" s="6">
        <v>74</v>
      </c>
      <c r="J188" s="6" t="s">
        <v>43</v>
      </c>
    </row>
    <row r="189" spans="1:10" x14ac:dyDescent="0.15">
      <c r="A189" s="13">
        <v>45935</v>
      </c>
      <c r="B189" s="6" t="s">
        <v>41</v>
      </c>
      <c r="C189" s="6" t="s">
        <v>54</v>
      </c>
      <c r="D189" s="6" t="s">
        <v>54</v>
      </c>
      <c r="E189" s="6" t="s">
        <v>38</v>
      </c>
      <c r="F189" s="6">
        <v>134</v>
      </c>
      <c r="G189" s="14">
        <v>155133</v>
      </c>
      <c r="H189" s="15">
        <v>0.52316094214476949</v>
      </c>
      <c r="I189" s="6">
        <v>73</v>
      </c>
      <c r="J189" s="6" t="s">
        <v>39</v>
      </c>
    </row>
    <row r="190" spans="1:10" x14ac:dyDescent="0.15">
      <c r="A190" s="13">
        <v>45936</v>
      </c>
      <c r="B190" s="6" t="s">
        <v>44</v>
      </c>
      <c r="C190" s="6" t="s">
        <v>35</v>
      </c>
      <c r="D190" s="6" t="s">
        <v>35</v>
      </c>
      <c r="E190" s="6" t="s">
        <v>31</v>
      </c>
      <c r="F190" s="6">
        <v>161</v>
      </c>
      <c r="G190" s="14">
        <v>201815</v>
      </c>
      <c r="H190" s="15">
        <v>0.69788552526024961</v>
      </c>
      <c r="I190" s="6">
        <v>82</v>
      </c>
      <c r="J190" s="6" t="s">
        <v>39</v>
      </c>
    </row>
    <row r="191" spans="1:10" x14ac:dyDescent="0.15">
      <c r="A191" s="13">
        <v>45937</v>
      </c>
      <c r="B191" s="6" t="s">
        <v>29</v>
      </c>
      <c r="C191" s="6" t="s">
        <v>50</v>
      </c>
      <c r="D191" s="6" t="s">
        <v>50</v>
      </c>
      <c r="E191" s="6" t="s">
        <v>38</v>
      </c>
      <c r="F191" s="6">
        <v>135</v>
      </c>
      <c r="G191" s="14">
        <v>164599</v>
      </c>
      <c r="H191" s="15">
        <v>0.50355726097811826</v>
      </c>
      <c r="I191" s="6">
        <v>83</v>
      </c>
      <c r="J191" s="6" t="s">
        <v>32</v>
      </c>
    </row>
    <row r="192" spans="1:10" x14ac:dyDescent="0.15">
      <c r="A192" s="13">
        <v>45938</v>
      </c>
      <c r="B192" s="6" t="s">
        <v>33</v>
      </c>
      <c r="C192" s="6" t="s">
        <v>47</v>
      </c>
      <c r="D192" s="6" t="s">
        <v>47</v>
      </c>
      <c r="E192" s="6" t="s">
        <v>42</v>
      </c>
      <c r="F192" s="6">
        <v>122</v>
      </c>
      <c r="G192" s="14">
        <v>153282</v>
      </c>
      <c r="H192" s="15">
        <v>0.51358653037089153</v>
      </c>
      <c r="I192" s="6">
        <v>59</v>
      </c>
      <c r="J192" s="6" t="s">
        <v>39</v>
      </c>
    </row>
    <row r="193" spans="1:10" x14ac:dyDescent="0.15">
      <c r="A193" s="13">
        <v>45939</v>
      </c>
      <c r="B193" s="6" t="s">
        <v>34</v>
      </c>
      <c r="C193" s="6" t="s">
        <v>48</v>
      </c>
      <c r="D193" s="6" t="s">
        <v>48</v>
      </c>
      <c r="E193" s="6" t="s">
        <v>31</v>
      </c>
      <c r="F193" s="6">
        <v>99</v>
      </c>
      <c r="G193" s="14">
        <v>105099</v>
      </c>
      <c r="H193" s="15">
        <v>0.38884105375381212</v>
      </c>
      <c r="I193" s="6">
        <v>63</v>
      </c>
      <c r="J193" s="6" t="s">
        <v>32</v>
      </c>
    </row>
    <row r="194" spans="1:10" x14ac:dyDescent="0.15">
      <c r="A194" s="13">
        <v>45940</v>
      </c>
      <c r="B194" s="6" t="s">
        <v>36</v>
      </c>
      <c r="C194" s="6" t="s">
        <v>45</v>
      </c>
      <c r="D194" s="6" t="s">
        <v>45</v>
      </c>
      <c r="E194" s="6" t="s">
        <v>38</v>
      </c>
      <c r="F194" s="6">
        <v>101</v>
      </c>
      <c r="G194" s="14">
        <v>139748</v>
      </c>
      <c r="H194" s="15">
        <v>0.40081478560552541</v>
      </c>
      <c r="I194" s="6">
        <v>78</v>
      </c>
      <c r="J194" s="6" t="s">
        <v>32</v>
      </c>
    </row>
    <row r="195" spans="1:10" x14ac:dyDescent="0.15">
      <c r="A195" s="13">
        <v>45941</v>
      </c>
      <c r="B195" s="6" t="s">
        <v>40</v>
      </c>
      <c r="C195" s="6" t="s">
        <v>47</v>
      </c>
      <c r="D195" s="6" t="s">
        <v>47</v>
      </c>
      <c r="E195" s="6" t="s">
        <v>49</v>
      </c>
      <c r="F195" s="6">
        <v>110</v>
      </c>
      <c r="G195" s="14">
        <v>146186</v>
      </c>
      <c r="H195" s="15">
        <v>0.37519473602837428</v>
      </c>
      <c r="I195" s="6">
        <v>73</v>
      </c>
      <c r="J195" s="6" t="s">
        <v>43</v>
      </c>
    </row>
    <row r="196" spans="1:10" x14ac:dyDescent="0.15">
      <c r="A196" s="13">
        <v>45942</v>
      </c>
      <c r="B196" s="6" t="s">
        <v>41</v>
      </c>
      <c r="C196" s="6" t="s">
        <v>37</v>
      </c>
      <c r="D196" s="6" t="s">
        <v>37</v>
      </c>
      <c r="E196" s="6" t="s">
        <v>31</v>
      </c>
      <c r="F196" s="6">
        <v>104</v>
      </c>
      <c r="G196" s="14">
        <v>115289</v>
      </c>
      <c r="H196" s="15">
        <v>0.36033669965214637</v>
      </c>
      <c r="I196" s="6">
        <v>57</v>
      </c>
      <c r="J196" s="6" t="s">
        <v>32</v>
      </c>
    </row>
    <row r="197" spans="1:10" x14ac:dyDescent="0.15">
      <c r="A197" s="13">
        <v>45943</v>
      </c>
      <c r="B197" s="6" t="s">
        <v>44</v>
      </c>
      <c r="C197" s="6" t="s">
        <v>37</v>
      </c>
      <c r="D197" s="6" t="s">
        <v>37</v>
      </c>
      <c r="E197" s="6" t="s">
        <v>42</v>
      </c>
      <c r="F197" s="6">
        <v>80</v>
      </c>
      <c r="G197" s="14">
        <v>93559</v>
      </c>
      <c r="H197" s="15">
        <v>0.32</v>
      </c>
      <c r="I197" s="6">
        <v>69</v>
      </c>
      <c r="J197" s="6" t="s">
        <v>39</v>
      </c>
    </row>
    <row r="198" spans="1:10" x14ac:dyDescent="0.15">
      <c r="A198" s="13">
        <v>45944</v>
      </c>
      <c r="B198" s="6" t="s">
        <v>29</v>
      </c>
      <c r="C198" s="6" t="s">
        <v>30</v>
      </c>
      <c r="D198" s="6" t="s">
        <v>30</v>
      </c>
      <c r="E198" s="6" t="s">
        <v>42</v>
      </c>
      <c r="F198" s="6">
        <v>156</v>
      </c>
      <c r="G198" s="14">
        <v>207527</v>
      </c>
      <c r="H198" s="15">
        <v>0.54460248441117076</v>
      </c>
      <c r="I198" s="6">
        <v>86</v>
      </c>
      <c r="J198" s="6" t="s">
        <v>32</v>
      </c>
    </row>
    <row r="199" spans="1:10" x14ac:dyDescent="0.15">
      <c r="A199" s="13">
        <v>45945</v>
      </c>
      <c r="B199" s="6" t="s">
        <v>33</v>
      </c>
      <c r="C199" s="6" t="s">
        <v>53</v>
      </c>
      <c r="D199" s="6" t="s">
        <v>53</v>
      </c>
      <c r="E199" s="6" t="s">
        <v>38</v>
      </c>
      <c r="F199" s="6">
        <v>122</v>
      </c>
      <c r="G199" s="14">
        <v>139081</v>
      </c>
      <c r="H199" s="15">
        <v>0.47298514704538058</v>
      </c>
      <c r="I199" s="6">
        <v>59</v>
      </c>
      <c r="J199" s="6" t="s">
        <v>43</v>
      </c>
    </row>
    <row r="200" spans="1:10" x14ac:dyDescent="0.15">
      <c r="A200" s="13">
        <v>45946</v>
      </c>
      <c r="B200" s="6" t="s">
        <v>34</v>
      </c>
      <c r="C200" s="6" t="s">
        <v>50</v>
      </c>
      <c r="D200" s="6" t="s">
        <v>50</v>
      </c>
      <c r="E200" s="6" t="s">
        <v>49</v>
      </c>
      <c r="F200" s="6">
        <v>110</v>
      </c>
      <c r="G200" s="14">
        <v>136788</v>
      </c>
      <c r="H200" s="15">
        <v>0.41937788575832102</v>
      </c>
      <c r="I200" s="6">
        <v>58</v>
      </c>
      <c r="J200" s="6" t="s">
        <v>39</v>
      </c>
    </row>
    <row r="201" spans="1:10" x14ac:dyDescent="0.15">
      <c r="A201" s="13">
        <v>45947</v>
      </c>
      <c r="B201" s="6" t="s">
        <v>36</v>
      </c>
      <c r="C201" s="6" t="s">
        <v>37</v>
      </c>
      <c r="D201" s="6" t="s">
        <v>37</v>
      </c>
      <c r="E201" s="6" t="s">
        <v>49</v>
      </c>
      <c r="F201" s="6">
        <v>114</v>
      </c>
      <c r="G201" s="14">
        <v>117164</v>
      </c>
      <c r="H201" s="15">
        <v>0.44909270692977482</v>
      </c>
      <c r="I201" s="6">
        <v>78</v>
      </c>
      <c r="J201" s="6" t="s">
        <v>39</v>
      </c>
    </row>
    <row r="202" spans="1:10" x14ac:dyDescent="0.15">
      <c r="A202" s="13">
        <v>45948</v>
      </c>
      <c r="B202" s="6" t="s">
        <v>40</v>
      </c>
      <c r="C202" s="6" t="s">
        <v>35</v>
      </c>
      <c r="D202" s="6" t="s">
        <v>35</v>
      </c>
      <c r="E202" s="6" t="s">
        <v>38</v>
      </c>
      <c r="F202" s="6">
        <v>174</v>
      </c>
      <c r="G202" s="14">
        <v>205250</v>
      </c>
      <c r="H202" s="15">
        <v>0.6997765968145071</v>
      </c>
      <c r="I202" s="6">
        <v>72</v>
      </c>
      <c r="J202" s="6" t="s">
        <v>32</v>
      </c>
    </row>
    <row r="203" spans="1:10" x14ac:dyDescent="0.15">
      <c r="A203" s="13">
        <v>45949</v>
      </c>
      <c r="B203" s="6" t="s">
        <v>41</v>
      </c>
      <c r="C203" s="6" t="s">
        <v>50</v>
      </c>
      <c r="D203" s="6" t="s">
        <v>50</v>
      </c>
      <c r="E203" s="6" t="s">
        <v>42</v>
      </c>
      <c r="F203" s="6">
        <v>113</v>
      </c>
      <c r="G203" s="14">
        <v>119792</v>
      </c>
      <c r="H203" s="15">
        <v>0.42719934625453199</v>
      </c>
      <c r="I203" s="6">
        <v>74</v>
      </c>
      <c r="J203" s="6" t="s">
        <v>32</v>
      </c>
    </row>
    <row r="204" spans="1:10" x14ac:dyDescent="0.15">
      <c r="A204" s="13">
        <v>45950</v>
      </c>
      <c r="B204" s="6" t="s">
        <v>44</v>
      </c>
      <c r="C204" s="6" t="s">
        <v>37</v>
      </c>
      <c r="D204" s="6" t="s">
        <v>37</v>
      </c>
      <c r="E204" s="6" t="s">
        <v>38</v>
      </c>
      <c r="F204" s="6">
        <v>101</v>
      </c>
      <c r="G204" s="14">
        <v>119854</v>
      </c>
      <c r="H204" s="15">
        <v>0.39426371641156382</v>
      </c>
      <c r="I204" s="6">
        <v>72</v>
      </c>
      <c r="J204" s="6" t="s">
        <v>39</v>
      </c>
    </row>
    <row r="205" spans="1:10" x14ac:dyDescent="0.15">
      <c r="A205" s="13">
        <v>45951</v>
      </c>
      <c r="B205" s="6" t="s">
        <v>29</v>
      </c>
      <c r="C205" s="6" t="s">
        <v>47</v>
      </c>
      <c r="D205" s="6" t="s">
        <v>47</v>
      </c>
      <c r="E205" s="6" t="s">
        <v>31</v>
      </c>
      <c r="F205" s="6">
        <v>60</v>
      </c>
      <c r="G205" s="14">
        <v>78367</v>
      </c>
      <c r="H205" s="15">
        <v>0.32</v>
      </c>
      <c r="I205" s="6">
        <v>80</v>
      </c>
      <c r="J205" s="6" t="s">
        <v>32</v>
      </c>
    </row>
    <row r="206" spans="1:10" x14ac:dyDescent="0.15">
      <c r="A206" s="13">
        <v>45952</v>
      </c>
      <c r="B206" s="6" t="s">
        <v>33</v>
      </c>
      <c r="C206" s="6" t="s">
        <v>48</v>
      </c>
      <c r="D206" s="6" t="s">
        <v>48</v>
      </c>
      <c r="E206" s="6" t="s">
        <v>49</v>
      </c>
      <c r="F206" s="6">
        <v>76</v>
      </c>
      <c r="G206" s="14">
        <v>85616</v>
      </c>
      <c r="H206" s="15">
        <v>0.32</v>
      </c>
      <c r="I206" s="6">
        <v>67</v>
      </c>
      <c r="J206" s="6" t="s">
        <v>43</v>
      </c>
    </row>
    <row r="207" spans="1:10" x14ac:dyDescent="0.15">
      <c r="A207" s="13">
        <v>45953</v>
      </c>
      <c r="B207" s="6" t="s">
        <v>34</v>
      </c>
      <c r="C207" s="6" t="s">
        <v>54</v>
      </c>
      <c r="D207" s="6" t="s">
        <v>54</v>
      </c>
      <c r="E207" s="6" t="s">
        <v>31</v>
      </c>
      <c r="F207" s="6">
        <v>85</v>
      </c>
      <c r="G207" s="14">
        <v>102535</v>
      </c>
      <c r="H207" s="15">
        <v>0.3724554839497396</v>
      </c>
      <c r="I207" s="6">
        <v>80</v>
      </c>
      <c r="J207" s="6" t="s">
        <v>32</v>
      </c>
    </row>
    <row r="208" spans="1:10" x14ac:dyDescent="0.15">
      <c r="A208" s="13">
        <v>45954</v>
      </c>
      <c r="B208" s="6" t="s">
        <v>36</v>
      </c>
      <c r="C208" s="6" t="s">
        <v>46</v>
      </c>
      <c r="D208" s="6" t="s">
        <v>46</v>
      </c>
      <c r="E208" s="6" t="s">
        <v>38</v>
      </c>
      <c r="F208" s="6">
        <v>166</v>
      </c>
      <c r="G208" s="14">
        <v>189875</v>
      </c>
      <c r="H208" s="15">
        <v>0.63152138494162335</v>
      </c>
      <c r="I208" s="6">
        <v>76</v>
      </c>
      <c r="J208" s="6" t="s">
        <v>32</v>
      </c>
    </row>
    <row r="209" spans="1:10" x14ac:dyDescent="0.15">
      <c r="A209" s="13">
        <v>45955</v>
      </c>
      <c r="B209" s="6" t="s">
        <v>40</v>
      </c>
      <c r="C209" s="6" t="s">
        <v>30</v>
      </c>
      <c r="D209" s="6" t="s">
        <v>30</v>
      </c>
      <c r="E209" s="6" t="s">
        <v>49</v>
      </c>
      <c r="F209" s="6">
        <v>168</v>
      </c>
      <c r="G209" s="14">
        <v>221998</v>
      </c>
      <c r="H209" s="15">
        <v>0.62896904098117679</v>
      </c>
      <c r="I209" s="6">
        <v>70</v>
      </c>
      <c r="J209" s="6" t="s">
        <v>43</v>
      </c>
    </row>
    <row r="210" spans="1:10" x14ac:dyDescent="0.15">
      <c r="A210" s="13">
        <v>45956</v>
      </c>
      <c r="B210" s="6" t="s">
        <v>41</v>
      </c>
      <c r="C210" s="6" t="s">
        <v>35</v>
      </c>
      <c r="D210" s="6" t="s">
        <v>35</v>
      </c>
      <c r="E210" s="6" t="s">
        <v>49</v>
      </c>
      <c r="F210" s="6">
        <v>143</v>
      </c>
      <c r="G210" s="14">
        <v>168691</v>
      </c>
      <c r="H210" s="15">
        <v>0.57327470435893191</v>
      </c>
      <c r="I210" s="6">
        <v>87</v>
      </c>
      <c r="J210" s="6" t="s">
        <v>43</v>
      </c>
    </row>
    <row r="211" spans="1:10" x14ac:dyDescent="0.15">
      <c r="A211" s="13">
        <v>45957</v>
      </c>
      <c r="B211" s="6" t="s">
        <v>44</v>
      </c>
      <c r="C211" s="6" t="s">
        <v>30</v>
      </c>
      <c r="D211" s="6" t="s">
        <v>30</v>
      </c>
      <c r="E211" s="6" t="s">
        <v>31</v>
      </c>
      <c r="F211" s="6">
        <v>194</v>
      </c>
      <c r="G211" s="14">
        <v>250959</v>
      </c>
      <c r="H211" s="15">
        <v>0.74976831692716706</v>
      </c>
      <c r="I211" s="6">
        <v>65</v>
      </c>
      <c r="J211" s="6" t="s">
        <v>32</v>
      </c>
    </row>
    <row r="212" spans="1:10" x14ac:dyDescent="0.15">
      <c r="A212" s="13">
        <v>45958</v>
      </c>
      <c r="B212" s="6" t="s">
        <v>29</v>
      </c>
      <c r="C212" s="6" t="s">
        <v>45</v>
      </c>
      <c r="D212" s="6" t="s">
        <v>45</v>
      </c>
      <c r="E212" s="6" t="s">
        <v>31</v>
      </c>
      <c r="F212" s="6">
        <v>130</v>
      </c>
      <c r="G212" s="14">
        <v>158807</v>
      </c>
      <c r="H212" s="15">
        <v>0.47836811524474432</v>
      </c>
      <c r="I212" s="6">
        <v>91</v>
      </c>
      <c r="J212" s="6" t="s">
        <v>39</v>
      </c>
    </row>
    <row r="213" spans="1:10" x14ac:dyDescent="0.15">
      <c r="A213" s="13">
        <v>45959</v>
      </c>
      <c r="B213" s="6" t="s">
        <v>33</v>
      </c>
      <c r="C213" s="6" t="s">
        <v>37</v>
      </c>
      <c r="D213" s="6" t="s">
        <v>37</v>
      </c>
      <c r="E213" s="6" t="s">
        <v>38</v>
      </c>
      <c r="F213" s="6">
        <v>85</v>
      </c>
      <c r="G213" s="14">
        <v>106424</v>
      </c>
      <c r="H213" s="15">
        <v>0.34673028766872471</v>
      </c>
      <c r="I213" s="6">
        <v>74</v>
      </c>
      <c r="J213" s="6" t="s">
        <v>39</v>
      </c>
    </row>
    <row r="214" spans="1:10" x14ac:dyDescent="0.15">
      <c r="A214" s="13">
        <v>45960</v>
      </c>
      <c r="B214" s="6" t="s">
        <v>34</v>
      </c>
      <c r="C214" s="6" t="s">
        <v>51</v>
      </c>
      <c r="D214" s="6" t="s">
        <v>51</v>
      </c>
      <c r="E214" s="6" t="s">
        <v>38</v>
      </c>
      <c r="F214" s="6">
        <v>141</v>
      </c>
      <c r="G214" s="14">
        <v>192485</v>
      </c>
      <c r="H214" s="15">
        <v>0.53541908476728484</v>
      </c>
      <c r="I214" s="6">
        <v>62</v>
      </c>
      <c r="J214" s="6" t="s">
        <v>39</v>
      </c>
    </row>
    <row r="215" spans="1:10" x14ac:dyDescent="0.15">
      <c r="A215" s="13">
        <v>45961</v>
      </c>
      <c r="B215" s="6" t="s">
        <v>36</v>
      </c>
      <c r="C215" s="6" t="s">
        <v>45</v>
      </c>
      <c r="D215" s="6" t="s">
        <v>45</v>
      </c>
      <c r="E215" s="6" t="s">
        <v>38</v>
      </c>
      <c r="F215" s="6">
        <v>148</v>
      </c>
      <c r="G215" s="14">
        <v>192762</v>
      </c>
      <c r="H215" s="15">
        <v>0.56633622976429665</v>
      </c>
      <c r="I215" s="6">
        <v>78</v>
      </c>
      <c r="J215" s="6" t="s">
        <v>32</v>
      </c>
    </row>
    <row r="216" spans="1:10" x14ac:dyDescent="0.15">
      <c r="A216" s="13">
        <v>45962</v>
      </c>
      <c r="B216" s="6" t="s">
        <v>40</v>
      </c>
      <c r="C216" s="6" t="s">
        <v>48</v>
      </c>
      <c r="D216" s="6" t="s">
        <v>48</v>
      </c>
      <c r="E216" s="6" t="s">
        <v>38</v>
      </c>
      <c r="F216" s="6">
        <v>128</v>
      </c>
      <c r="G216" s="14">
        <v>140349</v>
      </c>
      <c r="H216" s="15">
        <v>0.56573160852974713</v>
      </c>
      <c r="I216" s="6">
        <v>65</v>
      </c>
      <c r="J216" s="6" t="s">
        <v>43</v>
      </c>
    </row>
    <row r="217" spans="1:10" x14ac:dyDescent="0.15">
      <c r="A217" s="13">
        <v>45963</v>
      </c>
      <c r="B217" s="6" t="s">
        <v>41</v>
      </c>
      <c r="C217" s="6" t="s">
        <v>52</v>
      </c>
      <c r="D217" s="6" t="s">
        <v>52</v>
      </c>
      <c r="E217" s="6" t="s">
        <v>49</v>
      </c>
      <c r="F217" s="6">
        <v>166</v>
      </c>
      <c r="G217" s="14">
        <v>191794</v>
      </c>
      <c r="H217" s="15">
        <v>0.59750183051453987</v>
      </c>
      <c r="I217" s="6">
        <v>77</v>
      </c>
      <c r="J217" s="6" t="s">
        <v>43</v>
      </c>
    </row>
    <row r="218" spans="1:10" x14ac:dyDescent="0.15">
      <c r="A218" s="13">
        <v>45964</v>
      </c>
      <c r="B218" s="6" t="s">
        <v>44</v>
      </c>
      <c r="C218" s="6" t="s">
        <v>45</v>
      </c>
      <c r="D218" s="6" t="s">
        <v>45</v>
      </c>
      <c r="E218" s="6" t="s">
        <v>49</v>
      </c>
      <c r="F218" s="6">
        <v>177</v>
      </c>
      <c r="G218" s="14">
        <v>211135</v>
      </c>
      <c r="H218" s="15">
        <v>0.70459988058620016</v>
      </c>
      <c r="I218" s="6">
        <v>70</v>
      </c>
      <c r="J218" s="6" t="s">
        <v>43</v>
      </c>
    </row>
    <row r="219" spans="1:10" x14ac:dyDescent="0.15">
      <c r="A219" s="13">
        <v>45965</v>
      </c>
      <c r="B219" s="6" t="s">
        <v>29</v>
      </c>
      <c r="C219" s="6" t="s">
        <v>37</v>
      </c>
      <c r="D219" s="6" t="s">
        <v>37</v>
      </c>
      <c r="E219" s="6" t="s">
        <v>31</v>
      </c>
      <c r="F219" s="6">
        <v>75</v>
      </c>
      <c r="G219" s="14">
        <v>90046</v>
      </c>
      <c r="H219" s="15">
        <v>0.32</v>
      </c>
      <c r="I219" s="6">
        <v>60</v>
      </c>
      <c r="J219" s="6" t="s">
        <v>32</v>
      </c>
    </row>
    <row r="220" spans="1:10" x14ac:dyDescent="0.15">
      <c r="A220" s="13">
        <v>45966</v>
      </c>
      <c r="B220" s="6" t="s">
        <v>33</v>
      </c>
      <c r="C220" s="6" t="s">
        <v>51</v>
      </c>
      <c r="D220" s="6" t="s">
        <v>51</v>
      </c>
      <c r="E220" s="6" t="s">
        <v>42</v>
      </c>
      <c r="F220" s="6">
        <v>174</v>
      </c>
      <c r="G220" s="14">
        <v>202732</v>
      </c>
      <c r="H220" s="15">
        <v>0.67213593795973936</v>
      </c>
      <c r="I220" s="6">
        <v>70</v>
      </c>
      <c r="J220" s="6" t="s">
        <v>39</v>
      </c>
    </row>
    <row r="221" spans="1:10" x14ac:dyDescent="0.15">
      <c r="A221" s="13">
        <v>45967</v>
      </c>
      <c r="B221" s="6" t="s">
        <v>34</v>
      </c>
      <c r="C221" s="6" t="s">
        <v>50</v>
      </c>
      <c r="D221" s="6" t="s">
        <v>50</v>
      </c>
      <c r="E221" s="6" t="s">
        <v>49</v>
      </c>
      <c r="F221" s="6">
        <v>106</v>
      </c>
      <c r="G221" s="14">
        <v>124600</v>
      </c>
      <c r="H221" s="15">
        <v>0.34820046117155701</v>
      </c>
      <c r="I221" s="6">
        <v>67</v>
      </c>
      <c r="J221" s="6" t="s">
        <v>43</v>
      </c>
    </row>
    <row r="222" spans="1:10" x14ac:dyDescent="0.15">
      <c r="A222" s="13">
        <v>45968</v>
      </c>
      <c r="B222" s="6" t="s">
        <v>36</v>
      </c>
      <c r="C222" s="6" t="s">
        <v>51</v>
      </c>
      <c r="D222" s="6" t="s">
        <v>51</v>
      </c>
      <c r="E222" s="6" t="s">
        <v>42</v>
      </c>
      <c r="F222" s="6">
        <v>171</v>
      </c>
      <c r="G222" s="14">
        <v>210167</v>
      </c>
      <c r="H222" s="15">
        <v>0.66655928436847911</v>
      </c>
      <c r="I222" s="6">
        <v>71</v>
      </c>
      <c r="J222" s="6" t="s">
        <v>43</v>
      </c>
    </row>
    <row r="223" spans="1:10" x14ac:dyDescent="0.15">
      <c r="A223" s="13">
        <v>45969</v>
      </c>
      <c r="B223" s="6" t="s">
        <v>40</v>
      </c>
      <c r="C223" s="6" t="s">
        <v>48</v>
      </c>
      <c r="D223" s="6" t="s">
        <v>48</v>
      </c>
      <c r="E223" s="6" t="s">
        <v>31</v>
      </c>
      <c r="F223" s="6">
        <v>111</v>
      </c>
      <c r="G223" s="14">
        <v>129868</v>
      </c>
      <c r="H223" s="15">
        <v>0.44745104477553488</v>
      </c>
      <c r="I223" s="6">
        <v>75</v>
      </c>
      <c r="J223" s="6" t="s">
        <v>39</v>
      </c>
    </row>
    <row r="224" spans="1:10" x14ac:dyDescent="0.15">
      <c r="A224" s="13">
        <v>45970</v>
      </c>
      <c r="B224" s="6" t="s">
        <v>41</v>
      </c>
      <c r="C224" s="6" t="s">
        <v>52</v>
      </c>
      <c r="D224" s="6" t="s">
        <v>52</v>
      </c>
      <c r="E224" s="6" t="s">
        <v>38</v>
      </c>
      <c r="F224" s="6">
        <v>149</v>
      </c>
      <c r="G224" s="14">
        <v>175815</v>
      </c>
      <c r="H224" s="15">
        <v>0.55038323189648097</v>
      </c>
      <c r="I224" s="6">
        <v>87</v>
      </c>
      <c r="J224" s="6" t="s">
        <v>32</v>
      </c>
    </row>
    <row r="225" spans="1:10" x14ac:dyDescent="0.15">
      <c r="A225" s="13">
        <v>45971</v>
      </c>
      <c r="B225" s="6" t="s">
        <v>44</v>
      </c>
      <c r="C225" s="6" t="s">
        <v>37</v>
      </c>
      <c r="D225" s="6" t="s">
        <v>37</v>
      </c>
      <c r="E225" s="6" t="s">
        <v>38</v>
      </c>
      <c r="F225" s="6">
        <v>91</v>
      </c>
      <c r="G225" s="14">
        <v>107631</v>
      </c>
      <c r="H225" s="15">
        <v>0.32</v>
      </c>
      <c r="I225" s="6">
        <v>68</v>
      </c>
      <c r="J225" s="6" t="s">
        <v>39</v>
      </c>
    </row>
    <row r="226" spans="1:10" x14ac:dyDescent="0.15">
      <c r="A226" s="13">
        <v>45972</v>
      </c>
      <c r="B226" s="6" t="s">
        <v>29</v>
      </c>
      <c r="C226" s="6" t="s">
        <v>50</v>
      </c>
      <c r="D226" s="6" t="s">
        <v>50</v>
      </c>
      <c r="E226" s="6" t="s">
        <v>31</v>
      </c>
      <c r="F226" s="6">
        <v>90</v>
      </c>
      <c r="G226" s="14">
        <v>77327</v>
      </c>
      <c r="H226" s="15">
        <v>0.32</v>
      </c>
      <c r="I226" s="6">
        <v>60</v>
      </c>
      <c r="J226" s="6" t="s">
        <v>32</v>
      </c>
    </row>
    <row r="227" spans="1:10" x14ac:dyDescent="0.15">
      <c r="A227" s="13">
        <v>45973</v>
      </c>
      <c r="B227" s="6" t="s">
        <v>33</v>
      </c>
      <c r="C227" s="6" t="s">
        <v>50</v>
      </c>
      <c r="D227" s="6" t="s">
        <v>50</v>
      </c>
      <c r="E227" s="6" t="s">
        <v>31</v>
      </c>
      <c r="F227" s="6">
        <v>144</v>
      </c>
      <c r="G227" s="14">
        <v>167051</v>
      </c>
      <c r="H227" s="15">
        <v>0.56136586327633264</v>
      </c>
      <c r="I227" s="6">
        <v>57</v>
      </c>
      <c r="J227" s="6" t="s">
        <v>32</v>
      </c>
    </row>
    <row r="228" spans="1:10" x14ac:dyDescent="0.15">
      <c r="A228" s="13">
        <v>45974</v>
      </c>
      <c r="B228" s="6" t="s">
        <v>34</v>
      </c>
      <c r="C228" s="6" t="s">
        <v>51</v>
      </c>
      <c r="D228" s="6" t="s">
        <v>51</v>
      </c>
      <c r="E228" s="6" t="s">
        <v>49</v>
      </c>
      <c r="F228" s="6">
        <v>126</v>
      </c>
      <c r="G228" s="14">
        <v>153331</v>
      </c>
      <c r="H228" s="15">
        <v>0.48988700766544813</v>
      </c>
      <c r="I228" s="6">
        <v>70</v>
      </c>
      <c r="J228" s="6" t="s">
        <v>32</v>
      </c>
    </row>
    <row r="229" spans="1:10" x14ac:dyDescent="0.15">
      <c r="A229" s="13">
        <v>45975</v>
      </c>
      <c r="B229" s="6" t="s">
        <v>36</v>
      </c>
      <c r="C229" s="6" t="s">
        <v>35</v>
      </c>
      <c r="D229" s="6" t="s">
        <v>35</v>
      </c>
      <c r="E229" s="6" t="s">
        <v>31</v>
      </c>
      <c r="F229" s="6">
        <v>170</v>
      </c>
      <c r="G229" s="14">
        <v>212035</v>
      </c>
      <c r="H229" s="15">
        <v>0.68496235429261765</v>
      </c>
      <c r="I229" s="6">
        <v>87</v>
      </c>
      <c r="J229" s="6" t="s">
        <v>39</v>
      </c>
    </row>
    <row r="230" spans="1:10" x14ac:dyDescent="0.15">
      <c r="A230" s="13">
        <v>45976</v>
      </c>
      <c r="B230" s="6" t="s">
        <v>40</v>
      </c>
      <c r="C230" s="6" t="s">
        <v>30</v>
      </c>
      <c r="D230" s="6" t="s">
        <v>30</v>
      </c>
      <c r="E230" s="6" t="s">
        <v>31</v>
      </c>
      <c r="F230" s="6">
        <v>166</v>
      </c>
      <c r="G230" s="14">
        <v>188564</v>
      </c>
      <c r="H230" s="15">
        <v>0.52340620724296771</v>
      </c>
      <c r="I230" s="6">
        <v>61</v>
      </c>
      <c r="J230" s="6" t="s">
        <v>39</v>
      </c>
    </row>
    <row r="231" spans="1:10" x14ac:dyDescent="0.15">
      <c r="A231" s="13">
        <v>45977</v>
      </c>
      <c r="B231" s="6" t="s">
        <v>41</v>
      </c>
      <c r="C231" s="6" t="s">
        <v>50</v>
      </c>
      <c r="D231" s="6" t="s">
        <v>50</v>
      </c>
      <c r="E231" s="6" t="s">
        <v>31</v>
      </c>
      <c r="F231" s="6">
        <v>142</v>
      </c>
      <c r="G231" s="14">
        <v>165400</v>
      </c>
      <c r="H231" s="15">
        <v>0.503102006683396</v>
      </c>
      <c r="I231" s="6">
        <v>65</v>
      </c>
      <c r="J231" s="6" t="s">
        <v>43</v>
      </c>
    </row>
    <row r="232" spans="1:10" x14ac:dyDescent="0.15">
      <c r="A232" s="13">
        <v>45978</v>
      </c>
      <c r="B232" s="6" t="s">
        <v>44</v>
      </c>
      <c r="C232" s="6" t="s">
        <v>52</v>
      </c>
      <c r="D232" s="6" t="s">
        <v>52</v>
      </c>
      <c r="E232" s="6" t="s">
        <v>42</v>
      </c>
      <c r="F232" s="6">
        <v>170</v>
      </c>
      <c r="G232" s="14">
        <v>208229</v>
      </c>
      <c r="H232" s="15">
        <v>0.62882554815280056</v>
      </c>
      <c r="I232" s="6">
        <v>96</v>
      </c>
      <c r="J232" s="6" t="s">
        <v>43</v>
      </c>
    </row>
    <row r="233" spans="1:10" x14ac:dyDescent="0.15">
      <c r="A233" s="13">
        <v>45979</v>
      </c>
      <c r="B233" s="6" t="s">
        <v>29</v>
      </c>
      <c r="C233" s="6" t="s">
        <v>53</v>
      </c>
      <c r="D233" s="6" t="s">
        <v>53</v>
      </c>
      <c r="E233" s="6" t="s">
        <v>49</v>
      </c>
      <c r="F233" s="6">
        <v>103</v>
      </c>
      <c r="G233" s="14">
        <v>130653</v>
      </c>
      <c r="H233" s="15">
        <v>0.45317139265407358</v>
      </c>
      <c r="I233" s="6">
        <v>64</v>
      </c>
      <c r="J233" s="6" t="s">
        <v>43</v>
      </c>
    </row>
    <row r="234" spans="1:10" x14ac:dyDescent="0.15">
      <c r="A234" s="13">
        <v>45980</v>
      </c>
      <c r="B234" s="6" t="s">
        <v>33</v>
      </c>
      <c r="C234" s="6" t="s">
        <v>53</v>
      </c>
      <c r="D234" s="6" t="s">
        <v>53</v>
      </c>
      <c r="E234" s="6" t="s">
        <v>49</v>
      </c>
      <c r="F234" s="6">
        <v>124</v>
      </c>
      <c r="G234" s="14">
        <v>137757</v>
      </c>
      <c r="H234" s="15">
        <v>0.44299903378018812</v>
      </c>
      <c r="I234" s="6">
        <v>81</v>
      </c>
      <c r="J234" s="6" t="s">
        <v>32</v>
      </c>
    </row>
    <row r="235" spans="1:10" x14ac:dyDescent="0.15">
      <c r="A235" s="13">
        <v>45981</v>
      </c>
      <c r="B235" s="6" t="s">
        <v>34</v>
      </c>
      <c r="C235" s="6" t="s">
        <v>37</v>
      </c>
      <c r="D235" s="6" t="s">
        <v>37</v>
      </c>
      <c r="E235" s="6" t="s">
        <v>42</v>
      </c>
      <c r="F235" s="6">
        <v>122</v>
      </c>
      <c r="G235" s="14">
        <v>143830</v>
      </c>
      <c r="H235" s="15">
        <v>0.51464219463925509</v>
      </c>
      <c r="I235" s="6">
        <v>62</v>
      </c>
      <c r="J235" s="6" t="s">
        <v>39</v>
      </c>
    </row>
    <row r="236" spans="1:10" x14ac:dyDescent="0.15">
      <c r="A236" s="13">
        <v>45982</v>
      </c>
      <c r="B236" s="6" t="s">
        <v>36</v>
      </c>
      <c r="C236" s="6" t="s">
        <v>37</v>
      </c>
      <c r="D236" s="6" t="s">
        <v>37</v>
      </c>
      <c r="E236" s="6" t="s">
        <v>49</v>
      </c>
      <c r="F236" s="6">
        <v>140</v>
      </c>
      <c r="G236" s="14">
        <v>159033</v>
      </c>
      <c r="H236" s="15">
        <v>0.56994935431585936</v>
      </c>
      <c r="I236" s="6">
        <v>76</v>
      </c>
      <c r="J236" s="6" t="s">
        <v>32</v>
      </c>
    </row>
    <row r="237" spans="1:10" x14ac:dyDescent="0.15">
      <c r="A237" s="13">
        <v>45983</v>
      </c>
      <c r="B237" s="6" t="s">
        <v>40</v>
      </c>
      <c r="C237" s="6" t="s">
        <v>35</v>
      </c>
      <c r="D237" s="6" t="s">
        <v>35</v>
      </c>
      <c r="E237" s="6" t="s">
        <v>42</v>
      </c>
      <c r="F237" s="6">
        <v>166</v>
      </c>
      <c r="G237" s="14">
        <v>202836</v>
      </c>
      <c r="H237" s="15">
        <v>0.59087526341147178</v>
      </c>
      <c r="I237" s="6">
        <v>84</v>
      </c>
      <c r="J237" s="6" t="s">
        <v>32</v>
      </c>
    </row>
    <row r="238" spans="1:10" x14ac:dyDescent="0.15">
      <c r="A238" s="13">
        <v>45984</v>
      </c>
      <c r="B238" s="6" t="s">
        <v>41</v>
      </c>
      <c r="C238" s="6" t="s">
        <v>46</v>
      </c>
      <c r="D238" s="6" t="s">
        <v>46</v>
      </c>
      <c r="E238" s="6" t="s">
        <v>42</v>
      </c>
      <c r="F238" s="6">
        <v>223</v>
      </c>
      <c r="G238" s="14">
        <v>264733</v>
      </c>
      <c r="H238" s="15">
        <v>0.88552808747335954</v>
      </c>
      <c r="I238" s="6">
        <v>81</v>
      </c>
      <c r="J238" s="6" t="s">
        <v>39</v>
      </c>
    </row>
    <row r="239" spans="1:10" x14ac:dyDescent="0.15">
      <c r="A239" s="13">
        <v>45985</v>
      </c>
      <c r="B239" s="6" t="s">
        <v>44</v>
      </c>
      <c r="C239" s="6" t="s">
        <v>50</v>
      </c>
      <c r="D239" s="6" t="s">
        <v>50</v>
      </c>
      <c r="E239" s="6" t="s">
        <v>49</v>
      </c>
      <c r="F239" s="6">
        <v>104</v>
      </c>
      <c r="G239" s="14">
        <v>139351</v>
      </c>
      <c r="H239" s="15">
        <v>0.41268767908594078</v>
      </c>
      <c r="I239" s="6">
        <v>66</v>
      </c>
      <c r="J239" s="6" t="s">
        <v>32</v>
      </c>
    </row>
    <row r="240" spans="1:10" x14ac:dyDescent="0.15">
      <c r="A240" s="13">
        <v>45986</v>
      </c>
      <c r="B240" s="6" t="s">
        <v>29</v>
      </c>
      <c r="C240" s="6" t="s">
        <v>52</v>
      </c>
      <c r="D240" s="6" t="s">
        <v>52</v>
      </c>
      <c r="E240" s="6" t="s">
        <v>42</v>
      </c>
      <c r="F240" s="6">
        <v>128</v>
      </c>
      <c r="G240" s="14">
        <v>170008</v>
      </c>
      <c r="H240" s="15">
        <v>0.50102181667312784</v>
      </c>
      <c r="I240" s="6">
        <v>77</v>
      </c>
      <c r="J240" s="6" t="s">
        <v>39</v>
      </c>
    </row>
    <row r="241" spans="1:10" x14ac:dyDescent="0.15">
      <c r="A241" s="13">
        <v>45987</v>
      </c>
      <c r="B241" s="6" t="s">
        <v>33</v>
      </c>
      <c r="C241" s="6" t="s">
        <v>47</v>
      </c>
      <c r="D241" s="6" t="s">
        <v>47</v>
      </c>
      <c r="E241" s="6" t="s">
        <v>31</v>
      </c>
      <c r="F241" s="6">
        <v>118</v>
      </c>
      <c r="G241" s="14">
        <v>139274</v>
      </c>
      <c r="H241" s="15">
        <v>0.43866758691424568</v>
      </c>
      <c r="I241" s="6">
        <v>66</v>
      </c>
      <c r="J241" s="6" t="s">
        <v>43</v>
      </c>
    </row>
    <row r="242" spans="1:10" x14ac:dyDescent="0.15">
      <c r="A242" s="13">
        <v>45988</v>
      </c>
      <c r="B242" s="6" t="s">
        <v>34</v>
      </c>
      <c r="C242" s="6" t="s">
        <v>53</v>
      </c>
      <c r="D242" s="6" t="s">
        <v>53</v>
      </c>
      <c r="E242" s="6" t="s">
        <v>42</v>
      </c>
      <c r="F242" s="6">
        <v>119</v>
      </c>
      <c r="G242" s="14">
        <v>135100</v>
      </c>
      <c r="H242" s="15">
        <v>0.42976320399827561</v>
      </c>
      <c r="I242" s="6">
        <v>69</v>
      </c>
      <c r="J242" s="6" t="s">
        <v>32</v>
      </c>
    </row>
    <row r="243" spans="1:10" x14ac:dyDescent="0.15">
      <c r="A243" s="13">
        <v>45989</v>
      </c>
      <c r="B243" s="6" t="s">
        <v>36</v>
      </c>
      <c r="C243" s="6" t="s">
        <v>48</v>
      </c>
      <c r="D243" s="6" t="s">
        <v>48</v>
      </c>
      <c r="E243" s="6" t="s">
        <v>42</v>
      </c>
      <c r="F243" s="6">
        <v>95</v>
      </c>
      <c r="G243" s="14">
        <v>95811</v>
      </c>
      <c r="H243" s="15">
        <v>0.39699866982221987</v>
      </c>
      <c r="I243" s="6">
        <v>70</v>
      </c>
      <c r="J243" s="6" t="s">
        <v>43</v>
      </c>
    </row>
    <row r="244" spans="1:10" x14ac:dyDescent="0.15">
      <c r="A244" s="13">
        <v>45990</v>
      </c>
      <c r="B244" s="6" t="s">
        <v>40</v>
      </c>
      <c r="C244" s="6" t="s">
        <v>51</v>
      </c>
      <c r="D244" s="6" t="s">
        <v>51</v>
      </c>
      <c r="E244" s="6" t="s">
        <v>31</v>
      </c>
      <c r="F244" s="6">
        <v>152</v>
      </c>
      <c r="G244" s="14">
        <v>177486</v>
      </c>
      <c r="H244" s="15">
        <v>0.5539680774000989</v>
      </c>
      <c r="I244" s="6">
        <v>82</v>
      </c>
      <c r="J244" s="6" t="s">
        <v>43</v>
      </c>
    </row>
    <row r="245" spans="1:10" x14ac:dyDescent="0.15">
      <c r="A245" s="13">
        <v>45991</v>
      </c>
      <c r="B245" s="6" t="s">
        <v>41</v>
      </c>
      <c r="C245" s="6" t="s">
        <v>46</v>
      </c>
      <c r="D245" s="6" t="s">
        <v>46</v>
      </c>
      <c r="E245" s="6" t="s">
        <v>42</v>
      </c>
      <c r="F245" s="6">
        <v>181</v>
      </c>
      <c r="G245" s="14">
        <v>226879</v>
      </c>
      <c r="H245" s="15">
        <v>0.68436304339653353</v>
      </c>
      <c r="I245" s="6">
        <v>77</v>
      </c>
      <c r="J245" s="6" t="s">
        <v>43</v>
      </c>
    </row>
    <row r="246" spans="1:10" x14ac:dyDescent="0.15">
      <c r="A246" s="13">
        <v>45992</v>
      </c>
      <c r="B246" s="6" t="s">
        <v>44</v>
      </c>
      <c r="C246" s="6" t="s">
        <v>53</v>
      </c>
      <c r="D246" s="6" t="s">
        <v>53</v>
      </c>
      <c r="E246" s="6" t="s">
        <v>38</v>
      </c>
      <c r="F246" s="6">
        <v>113</v>
      </c>
      <c r="G246" s="14">
        <v>102435</v>
      </c>
      <c r="H246" s="15">
        <v>0.41663736567343351</v>
      </c>
      <c r="I246" s="6">
        <v>82</v>
      </c>
      <c r="J246" s="6" t="s">
        <v>32</v>
      </c>
    </row>
    <row r="247" spans="1:10" x14ac:dyDescent="0.15">
      <c r="A247" s="13">
        <v>45993</v>
      </c>
      <c r="B247" s="6" t="s">
        <v>29</v>
      </c>
      <c r="C247" s="6" t="s">
        <v>35</v>
      </c>
      <c r="D247" s="6" t="s">
        <v>35</v>
      </c>
      <c r="E247" s="6" t="s">
        <v>49</v>
      </c>
      <c r="F247" s="6">
        <v>168</v>
      </c>
      <c r="G247" s="14">
        <v>210610</v>
      </c>
      <c r="H247" s="15">
        <v>0.6336841287955246</v>
      </c>
      <c r="I247" s="6">
        <v>85</v>
      </c>
      <c r="J247" s="6" t="s">
        <v>43</v>
      </c>
    </row>
    <row r="248" spans="1:10" x14ac:dyDescent="0.15">
      <c r="A248" s="13">
        <v>45994</v>
      </c>
      <c r="B248" s="6" t="s">
        <v>33</v>
      </c>
      <c r="C248" s="6" t="s">
        <v>50</v>
      </c>
      <c r="D248" s="6" t="s">
        <v>50</v>
      </c>
      <c r="E248" s="6" t="s">
        <v>38</v>
      </c>
      <c r="F248" s="6">
        <v>109</v>
      </c>
      <c r="G248" s="14">
        <v>135978</v>
      </c>
      <c r="H248" s="15">
        <v>0.45772620118299062</v>
      </c>
      <c r="I248" s="6">
        <v>65</v>
      </c>
      <c r="J248" s="6" t="s">
        <v>39</v>
      </c>
    </row>
    <row r="249" spans="1:10" x14ac:dyDescent="0.15">
      <c r="A249" s="13">
        <v>45995</v>
      </c>
      <c r="B249" s="6" t="s">
        <v>34</v>
      </c>
      <c r="C249" s="6" t="s">
        <v>54</v>
      </c>
      <c r="D249" s="6" t="s">
        <v>54</v>
      </c>
      <c r="E249" s="6" t="s">
        <v>49</v>
      </c>
      <c r="F249" s="6">
        <v>101</v>
      </c>
      <c r="G249" s="14">
        <v>92863</v>
      </c>
      <c r="H249" s="15">
        <v>0.39136965813041602</v>
      </c>
      <c r="I249" s="6">
        <v>55</v>
      </c>
      <c r="J249" s="6" t="s">
        <v>32</v>
      </c>
    </row>
    <row r="250" spans="1:10" x14ac:dyDescent="0.15">
      <c r="A250" s="13">
        <v>45996</v>
      </c>
      <c r="B250" s="6" t="s">
        <v>36</v>
      </c>
      <c r="C250" s="6" t="s">
        <v>48</v>
      </c>
      <c r="D250" s="6" t="s">
        <v>48</v>
      </c>
      <c r="E250" s="6" t="s">
        <v>42</v>
      </c>
      <c r="F250" s="6">
        <v>96</v>
      </c>
      <c r="G250" s="14">
        <v>110317</v>
      </c>
      <c r="H250" s="15">
        <v>0.38405008365383858</v>
      </c>
      <c r="I250" s="6">
        <v>68</v>
      </c>
      <c r="J250" s="6" t="s">
        <v>32</v>
      </c>
    </row>
    <row r="251" spans="1:10" x14ac:dyDescent="0.15">
      <c r="A251" s="13">
        <v>45997</v>
      </c>
      <c r="B251" s="6" t="s">
        <v>40</v>
      </c>
      <c r="C251" s="6" t="s">
        <v>51</v>
      </c>
      <c r="D251" s="6" t="s">
        <v>51</v>
      </c>
      <c r="E251" s="6" t="s">
        <v>31</v>
      </c>
      <c r="F251" s="6">
        <v>164</v>
      </c>
      <c r="G251" s="14">
        <v>216188</v>
      </c>
      <c r="H251" s="15">
        <v>0.64844949336082036</v>
      </c>
      <c r="I251" s="6">
        <v>81</v>
      </c>
      <c r="J251" s="6" t="s">
        <v>39</v>
      </c>
    </row>
    <row r="252" spans="1:10" x14ac:dyDescent="0.15">
      <c r="A252" s="13">
        <v>45998</v>
      </c>
      <c r="B252" s="6" t="s">
        <v>41</v>
      </c>
      <c r="C252" s="6" t="s">
        <v>30</v>
      </c>
      <c r="D252" s="6" t="s">
        <v>30</v>
      </c>
      <c r="E252" s="6" t="s">
        <v>38</v>
      </c>
      <c r="F252" s="6">
        <v>159</v>
      </c>
      <c r="G252" s="14">
        <v>198133</v>
      </c>
      <c r="H252" s="15">
        <v>0.59990968233627529</v>
      </c>
      <c r="I252" s="6">
        <v>72</v>
      </c>
      <c r="J252" s="6" t="s">
        <v>39</v>
      </c>
    </row>
    <row r="253" spans="1:10" x14ac:dyDescent="0.15">
      <c r="A253" s="13">
        <v>45999</v>
      </c>
      <c r="B253" s="6" t="s">
        <v>44</v>
      </c>
      <c r="C253" s="6" t="s">
        <v>46</v>
      </c>
      <c r="D253" s="6" t="s">
        <v>46</v>
      </c>
      <c r="E253" s="6" t="s">
        <v>38</v>
      </c>
      <c r="F253" s="6">
        <v>140</v>
      </c>
      <c r="G253" s="14">
        <v>184238</v>
      </c>
      <c r="H253" s="15">
        <v>0.53724919346773936</v>
      </c>
      <c r="I253" s="6">
        <v>61</v>
      </c>
      <c r="J253" s="6" t="s">
        <v>32</v>
      </c>
    </row>
    <row r="254" spans="1:10" x14ac:dyDescent="0.15">
      <c r="A254" s="13">
        <v>46000</v>
      </c>
      <c r="B254" s="6" t="s">
        <v>29</v>
      </c>
      <c r="C254" s="6" t="s">
        <v>45</v>
      </c>
      <c r="D254" s="6" t="s">
        <v>45</v>
      </c>
      <c r="E254" s="6" t="s">
        <v>38</v>
      </c>
      <c r="F254" s="6">
        <v>161</v>
      </c>
      <c r="G254" s="14">
        <v>195337</v>
      </c>
      <c r="H254" s="15">
        <v>0.69982073262885958</v>
      </c>
      <c r="I254" s="6">
        <v>57</v>
      </c>
      <c r="J254" s="6" t="s">
        <v>39</v>
      </c>
    </row>
    <row r="255" spans="1:10" x14ac:dyDescent="0.15">
      <c r="A255" s="13">
        <v>46001</v>
      </c>
      <c r="B255" s="6" t="s">
        <v>33</v>
      </c>
      <c r="C255" s="6" t="s">
        <v>53</v>
      </c>
      <c r="D255" s="6" t="s">
        <v>53</v>
      </c>
      <c r="E255" s="6" t="s">
        <v>31</v>
      </c>
      <c r="F255" s="6">
        <v>119</v>
      </c>
      <c r="G255" s="14">
        <v>145087</v>
      </c>
      <c r="H255" s="15">
        <v>0.42204550234639721</v>
      </c>
      <c r="I255" s="6">
        <v>59</v>
      </c>
      <c r="J255" s="6" t="s">
        <v>39</v>
      </c>
    </row>
    <row r="256" spans="1:10" x14ac:dyDescent="0.15">
      <c r="A256" s="13">
        <v>46002</v>
      </c>
      <c r="B256" s="6" t="s">
        <v>34</v>
      </c>
      <c r="C256" s="6" t="s">
        <v>48</v>
      </c>
      <c r="D256" s="6" t="s">
        <v>48</v>
      </c>
      <c r="E256" s="6" t="s">
        <v>38</v>
      </c>
      <c r="F256" s="6">
        <v>141</v>
      </c>
      <c r="G256" s="14">
        <v>145871</v>
      </c>
      <c r="H256" s="15">
        <v>0.50465517823053818</v>
      </c>
      <c r="I256" s="6">
        <v>78</v>
      </c>
      <c r="J256" s="6" t="s">
        <v>32</v>
      </c>
    </row>
    <row r="257" spans="1:10" x14ac:dyDescent="0.15">
      <c r="A257" s="13">
        <v>46003</v>
      </c>
      <c r="B257" s="6" t="s">
        <v>36</v>
      </c>
      <c r="C257" s="6" t="s">
        <v>45</v>
      </c>
      <c r="D257" s="6" t="s">
        <v>45</v>
      </c>
      <c r="E257" s="6" t="s">
        <v>49</v>
      </c>
      <c r="F257" s="6">
        <v>177</v>
      </c>
      <c r="G257" s="14">
        <v>229358</v>
      </c>
      <c r="H257" s="15">
        <v>0.62522705767963371</v>
      </c>
      <c r="I257" s="6">
        <v>69</v>
      </c>
      <c r="J257" s="6" t="s">
        <v>32</v>
      </c>
    </row>
    <row r="258" spans="1:10" x14ac:dyDescent="0.15">
      <c r="A258" s="13">
        <v>46004</v>
      </c>
      <c r="B258" s="6" t="s">
        <v>40</v>
      </c>
      <c r="C258" s="6" t="s">
        <v>37</v>
      </c>
      <c r="D258" s="6" t="s">
        <v>37</v>
      </c>
      <c r="E258" s="6" t="s">
        <v>31</v>
      </c>
      <c r="F258" s="6">
        <v>102</v>
      </c>
      <c r="G258" s="14">
        <v>125785</v>
      </c>
      <c r="H258" s="15">
        <v>0.36193780986249419</v>
      </c>
      <c r="I258" s="6">
        <v>71</v>
      </c>
      <c r="J258" s="6" t="s">
        <v>32</v>
      </c>
    </row>
    <row r="259" spans="1:10" x14ac:dyDescent="0.15">
      <c r="A259" s="13">
        <v>46005</v>
      </c>
      <c r="B259" s="6" t="s">
        <v>41</v>
      </c>
      <c r="C259" s="6" t="s">
        <v>50</v>
      </c>
      <c r="D259" s="6" t="s">
        <v>50</v>
      </c>
      <c r="E259" s="6" t="s">
        <v>31</v>
      </c>
      <c r="F259" s="6">
        <v>136</v>
      </c>
      <c r="G259" s="14">
        <v>168257</v>
      </c>
      <c r="H259" s="15">
        <v>0.56528133044084994</v>
      </c>
      <c r="I259" s="6">
        <v>58</v>
      </c>
      <c r="J259" s="6" t="s">
        <v>32</v>
      </c>
    </row>
    <row r="260" spans="1:10" x14ac:dyDescent="0.15">
      <c r="A260" s="13">
        <v>46006</v>
      </c>
      <c r="B260" s="6" t="s">
        <v>44</v>
      </c>
      <c r="C260" s="6" t="s">
        <v>45</v>
      </c>
      <c r="D260" s="6" t="s">
        <v>45</v>
      </c>
      <c r="E260" s="6" t="s">
        <v>49</v>
      </c>
      <c r="F260" s="6">
        <v>169</v>
      </c>
      <c r="G260" s="14">
        <v>210651</v>
      </c>
      <c r="H260" s="15">
        <v>0.61837643144497412</v>
      </c>
      <c r="I260" s="6">
        <v>67</v>
      </c>
      <c r="J260" s="6" t="s">
        <v>32</v>
      </c>
    </row>
    <row r="261" spans="1:10" x14ac:dyDescent="0.15">
      <c r="A261" s="13">
        <v>46007</v>
      </c>
      <c r="B261" s="6" t="s">
        <v>29</v>
      </c>
      <c r="C261" s="6" t="s">
        <v>48</v>
      </c>
      <c r="D261" s="6" t="s">
        <v>48</v>
      </c>
      <c r="E261" s="6" t="s">
        <v>38</v>
      </c>
      <c r="F261" s="6">
        <v>95</v>
      </c>
      <c r="G261" s="14">
        <v>116743</v>
      </c>
      <c r="H261" s="15">
        <v>0.36705290178399302</v>
      </c>
      <c r="I261" s="6">
        <v>56</v>
      </c>
      <c r="J261" s="6" t="s">
        <v>32</v>
      </c>
    </row>
    <row r="262" spans="1:10" x14ac:dyDescent="0.15">
      <c r="A262" s="13">
        <v>46008</v>
      </c>
      <c r="B262" s="6" t="s">
        <v>33</v>
      </c>
      <c r="C262" s="6" t="s">
        <v>51</v>
      </c>
      <c r="D262" s="6" t="s">
        <v>51</v>
      </c>
      <c r="E262" s="6" t="s">
        <v>38</v>
      </c>
      <c r="F262" s="6">
        <v>176</v>
      </c>
      <c r="G262" s="14">
        <v>200418</v>
      </c>
      <c r="H262" s="15">
        <v>0.65710162425046847</v>
      </c>
      <c r="I262" s="6">
        <v>87</v>
      </c>
      <c r="J262" s="6" t="s">
        <v>43</v>
      </c>
    </row>
    <row r="263" spans="1:10" x14ac:dyDescent="0.15">
      <c r="A263" s="13">
        <v>46009</v>
      </c>
      <c r="B263" s="6" t="s">
        <v>34</v>
      </c>
      <c r="C263" s="6" t="s">
        <v>35</v>
      </c>
      <c r="D263" s="6" t="s">
        <v>35</v>
      </c>
      <c r="E263" s="6" t="s">
        <v>31</v>
      </c>
      <c r="F263" s="6">
        <v>187</v>
      </c>
      <c r="G263" s="14">
        <v>230572</v>
      </c>
      <c r="H263" s="15">
        <v>0.69519274571987255</v>
      </c>
      <c r="I263" s="6">
        <v>81</v>
      </c>
      <c r="J263" s="6" t="s">
        <v>32</v>
      </c>
    </row>
    <row r="264" spans="1:10" x14ac:dyDescent="0.15">
      <c r="A264" s="13">
        <v>46010</v>
      </c>
      <c r="B264" s="6" t="s">
        <v>36</v>
      </c>
      <c r="C264" s="6" t="s">
        <v>48</v>
      </c>
      <c r="D264" s="6" t="s">
        <v>48</v>
      </c>
      <c r="E264" s="6" t="s">
        <v>31</v>
      </c>
      <c r="F264" s="6">
        <v>132</v>
      </c>
      <c r="G264" s="14">
        <v>157641</v>
      </c>
      <c r="H264" s="15">
        <v>0.4863906829353562</v>
      </c>
      <c r="I264" s="6">
        <v>63</v>
      </c>
      <c r="J264" s="6" t="s">
        <v>43</v>
      </c>
    </row>
    <row r="265" spans="1:10" x14ac:dyDescent="0.15">
      <c r="A265" s="13">
        <v>46011</v>
      </c>
      <c r="B265" s="6" t="s">
        <v>40</v>
      </c>
      <c r="C265" s="6" t="s">
        <v>53</v>
      </c>
      <c r="D265" s="6" t="s">
        <v>53</v>
      </c>
      <c r="E265" s="6" t="s">
        <v>42</v>
      </c>
      <c r="F265" s="6">
        <v>137</v>
      </c>
      <c r="G265" s="14">
        <v>169692</v>
      </c>
      <c r="H265" s="15">
        <v>0.52802298799951664</v>
      </c>
      <c r="I265" s="6">
        <v>60</v>
      </c>
      <c r="J265" s="6" t="s">
        <v>32</v>
      </c>
    </row>
    <row r="266" spans="1:10" x14ac:dyDescent="0.15">
      <c r="A266" s="13">
        <v>46012</v>
      </c>
      <c r="B266" s="6" t="s">
        <v>41</v>
      </c>
      <c r="C266" s="6" t="s">
        <v>53</v>
      </c>
      <c r="D266" s="6" t="s">
        <v>53</v>
      </c>
      <c r="E266" s="6" t="s">
        <v>42</v>
      </c>
      <c r="F266" s="6">
        <v>146</v>
      </c>
      <c r="G266" s="14">
        <v>162945</v>
      </c>
      <c r="H266" s="15">
        <v>0.60530678066473087</v>
      </c>
      <c r="I266" s="6">
        <v>67</v>
      </c>
      <c r="J266" s="6" t="s">
        <v>32</v>
      </c>
    </row>
    <row r="267" spans="1:10" x14ac:dyDescent="0.15">
      <c r="A267" s="13">
        <v>46013</v>
      </c>
      <c r="B267" s="6" t="s">
        <v>44</v>
      </c>
      <c r="C267" s="6" t="s">
        <v>50</v>
      </c>
      <c r="D267" s="6" t="s">
        <v>50</v>
      </c>
      <c r="E267" s="6" t="s">
        <v>42</v>
      </c>
      <c r="F267" s="6">
        <v>130</v>
      </c>
      <c r="G267" s="14">
        <v>171271</v>
      </c>
      <c r="H267" s="15">
        <v>0.55989537807788481</v>
      </c>
      <c r="I267" s="6">
        <v>60</v>
      </c>
      <c r="J267" s="6" t="s">
        <v>32</v>
      </c>
    </row>
    <row r="268" spans="1:10" x14ac:dyDescent="0.15">
      <c r="A268" s="13">
        <v>46014</v>
      </c>
      <c r="B268" s="6" t="s">
        <v>29</v>
      </c>
      <c r="C268" s="6" t="s">
        <v>30</v>
      </c>
      <c r="D268" s="6" t="s">
        <v>30</v>
      </c>
      <c r="E268" s="6" t="s">
        <v>42</v>
      </c>
      <c r="F268" s="6">
        <v>168</v>
      </c>
      <c r="G268" s="14">
        <v>222798</v>
      </c>
      <c r="H268" s="15">
        <v>0.58933938582418555</v>
      </c>
      <c r="I268" s="6">
        <v>62</v>
      </c>
      <c r="J268" s="6" t="s">
        <v>32</v>
      </c>
    </row>
    <row r="269" spans="1:10" x14ac:dyDescent="0.15">
      <c r="A269" s="13">
        <v>46015</v>
      </c>
      <c r="B269" s="6" t="s">
        <v>33</v>
      </c>
      <c r="C269" s="6" t="s">
        <v>54</v>
      </c>
      <c r="D269" s="6" t="s">
        <v>54</v>
      </c>
      <c r="E269" s="6" t="s">
        <v>49</v>
      </c>
      <c r="F269" s="6">
        <v>128</v>
      </c>
      <c r="G269" s="14">
        <v>175048</v>
      </c>
      <c r="H269" s="15">
        <v>0.46717255053891438</v>
      </c>
      <c r="I269" s="6">
        <v>86</v>
      </c>
      <c r="J269" s="6" t="s">
        <v>32</v>
      </c>
    </row>
    <row r="270" spans="1:10" x14ac:dyDescent="0.15">
      <c r="A270" s="13">
        <v>46016</v>
      </c>
      <c r="B270" s="6" t="s">
        <v>34</v>
      </c>
      <c r="C270" s="6" t="s">
        <v>48</v>
      </c>
      <c r="D270" s="6" t="s">
        <v>48</v>
      </c>
      <c r="E270" s="6" t="s">
        <v>38</v>
      </c>
      <c r="F270" s="6">
        <v>142</v>
      </c>
      <c r="G270" s="14">
        <v>156662</v>
      </c>
      <c r="H270" s="15">
        <v>0.53607712971929766</v>
      </c>
      <c r="I270" s="6">
        <v>62</v>
      </c>
      <c r="J270" s="6" t="s">
        <v>32</v>
      </c>
    </row>
    <row r="271" spans="1:10" x14ac:dyDescent="0.15">
      <c r="A271" s="13">
        <v>46017</v>
      </c>
      <c r="B271" s="6" t="s">
        <v>36</v>
      </c>
      <c r="C271" s="6" t="s">
        <v>47</v>
      </c>
      <c r="D271" s="6" t="s">
        <v>47</v>
      </c>
      <c r="E271" s="6" t="s">
        <v>49</v>
      </c>
      <c r="F271" s="6">
        <v>107</v>
      </c>
      <c r="G271" s="14">
        <v>137431</v>
      </c>
      <c r="H271" s="15">
        <v>0.39426279919386042</v>
      </c>
      <c r="I271" s="6">
        <v>72</v>
      </c>
      <c r="J271" s="6" t="s">
        <v>39</v>
      </c>
    </row>
    <row r="272" spans="1:10" x14ac:dyDescent="0.15">
      <c r="A272" s="13">
        <v>46018</v>
      </c>
      <c r="B272" s="6" t="s">
        <v>40</v>
      </c>
      <c r="C272" s="6" t="s">
        <v>48</v>
      </c>
      <c r="D272" s="6" t="s">
        <v>48</v>
      </c>
      <c r="E272" s="6" t="s">
        <v>42</v>
      </c>
      <c r="F272" s="6">
        <v>129</v>
      </c>
      <c r="G272" s="14">
        <v>140414</v>
      </c>
      <c r="H272" s="15">
        <v>0.50495578517911488</v>
      </c>
      <c r="I272" s="6">
        <v>76</v>
      </c>
      <c r="J272" s="6" t="s">
        <v>32</v>
      </c>
    </row>
    <row r="273" spans="1:10" x14ac:dyDescent="0.15">
      <c r="A273" s="13">
        <v>46019</v>
      </c>
      <c r="B273" s="6" t="s">
        <v>41</v>
      </c>
      <c r="C273" s="6" t="s">
        <v>51</v>
      </c>
      <c r="D273" s="6" t="s">
        <v>51</v>
      </c>
      <c r="E273" s="6" t="s">
        <v>42</v>
      </c>
      <c r="F273" s="6">
        <v>205</v>
      </c>
      <c r="G273" s="14">
        <v>255749</v>
      </c>
      <c r="H273" s="15">
        <v>0.74021977738835809</v>
      </c>
      <c r="I273" s="6">
        <v>71</v>
      </c>
      <c r="J273" s="6" t="s">
        <v>43</v>
      </c>
    </row>
    <row r="274" spans="1:10" x14ac:dyDescent="0.15">
      <c r="A274" s="13">
        <v>46020</v>
      </c>
      <c r="B274" s="6" t="s">
        <v>44</v>
      </c>
      <c r="C274" s="6" t="s">
        <v>47</v>
      </c>
      <c r="D274" s="6" t="s">
        <v>47</v>
      </c>
      <c r="E274" s="6" t="s">
        <v>31</v>
      </c>
      <c r="F274" s="6">
        <v>127</v>
      </c>
      <c r="G274" s="14">
        <v>166593</v>
      </c>
      <c r="H274" s="15">
        <v>0.48964912370547969</v>
      </c>
      <c r="I274" s="6">
        <v>78</v>
      </c>
      <c r="J274" s="6" t="s">
        <v>43</v>
      </c>
    </row>
    <row r="275" spans="1:10" x14ac:dyDescent="0.15">
      <c r="A275" s="13">
        <v>46021</v>
      </c>
      <c r="B275" s="6" t="s">
        <v>29</v>
      </c>
      <c r="C275" s="6" t="s">
        <v>54</v>
      </c>
      <c r="D275" s="6" t="s">
        <v>54</v>
      </c>
      <c r="E275" s="6" t="s">
        <v>49</v>
      </c>
      <c r="F275" s="6">
        <v>91</v>
      </c>
      <c r="G275" s="14">
        <v>111219</v>
      </c>
      <c r="H275" s="15">
        <v>0.33849138324497469</v>
      </c>
      <c r="I275" s="6">
        <v>73</v>
      </c>
      <c r="J275" s="6" t="s">
        <v>39</v>
      </c>
    </row>
    <row r="276" spans="1:10" x14ac:dyDescent="0.15">
      <c r="A276" s="13">
        <v>46022</v>
      </c>
      <c r="B276" s="6" t="s">
        <v>33</v>
      </c>
      <c r="C276" s="6" t="s">
        <v>46</v>
      </c>
      <c r="D276" s="6" t="s">
        <v>46</v>
      </c>
      <c r="E276" s="6" t="s">
        <v>42</v>
      </c>
      <c r="F276" s="6">
        <v>178</v>
      </c>
      <c r="G276" s="14">
        <v>213163</v>
      </c>
      <c r="H276" s="15">
        <v>0.68918905711408052</v>
      </c>
      <c r="I276" s="6">
        <v>69</v>
      </c>
      <c r="J276" s="6" t="s">
        <v>32</v>
      </c>
    </row>
    <row r="277" spans="1:10" x14ac:dyDescent="0.15">
      <c r="A277" s="13">
        <v>46023</v>
      </c>
      <c r="B277" s="6" t="s">
        <v>34</v>
      </c>
      <c r="C277" s="6" t="s">
        <v>35</v>
      </c>
      <c r="D277" s="6" t="s">
        <v>35</v>
      </c>
      <c r="E277" s="6" t="s">
        <v>31</v>
      </c>
      <c r="F277" s="6">
        <v>179</v>
      </c>
      <c r="G277" s="14">
        <v>224804</v>
      </c>
      <c r="H277" s="15">
        <v>0.69600343224045402</v>
      </c>
      <c r="I277" s="6">
        <v>86</v>
      </c>
      <c r="J277" s="6" t="s">
        <v>32</v>
      </c>
    </row>
    <row r="278" spans="1:10" x14ac:dyDescent="0.15">
      <c r="A278" s="13">
        <v>46024</v>
      </c>
      <c r="B278" s="6" t="s">
        <v>36</v>
      </c>
      <c r="C278" s="6" t="s">
        <v>48</v>
      </c>
      <c r="D278" s="6" t="s">
        <v>48</v>
      </c>
      <c r="E278" s="6" t="s">
        <v>38</v>
      </c>
      <c r="F278" s="6">
        <v>142</v>
      </c>
      <c r="G278" s="14">
        <v>167599</v>
      </c>
      <c r="H278" s="15">
        <v>0.54069730527314896</v>
      </c>
      <c r="I278" s="6">
        <v>70</v>
      </c>
      <c r="J278" s="6" t="s">
        <v>43</v>
      </c>
    </row>
    <row r="279" spans="1:10" x14ac:dyDescent="0.15">
      <c r="A279" s="13">
        <v>46025</v>
      </c>
      <c r="B279" s="6" t="s">
        <v>40</v>
      </c>
      <c r="C279" s="6" t="s">
        <v>45</v>
      </c>
      <c r="D279" s="6" t="s">
        <v>45</v>
      </c>
      <c r="E279" s="6" t="s">
        <v>49</v>
      </c>
      <c r="F279" s="6">
        <v>162</v>
      </c>
      <c r="G279" s="14">
        <v>197381</v>
      </c>
      <c r="H279" s="15">
        <v>0.5478925187500765</v>
      </c>
      <c r="I279" s="6">
        <v>80</v>
      </c>
      <c r="J279" s="6" t="s">
        <v>32</v>
      </c>
    </row>
    <row r="280" spans="1:10" x14ac:dyDescent="0.15">
      <c r="A280" s="13">
        <v>46026</v>
      </c>
      <c r="B280" s="6" t="s">
        <v>41</v>
      </c>
      <c r="C280" s="6" t="s">
        <v>51</v>
      </c>
      <c r="D280" s="6" t="s">
        <v>51</v>
      </c>
      <c r="E280" s="6" t="s">
        <v>38</v>
      </c>
      <c r="F280" s="6">
        <v>186</v>
      </c>
      <c r="G280" s="14">
        <v>247301</v>
      </c>
      <c r="H280" s="15">
        <v>0.71488711241419445</v>
      </c>
      <c r="I280" s="6">
        <v>85</v>
      </c>
      <c r="J280" s="6" t="s">
        <v>39</v>
      </c>
    </row>
    <row r="281" spans="1:10" x14ac:dyDescent="0.15">
      <c r="A281" s="13">
        <v>46027</v>
      </c>
      <c r="B281" s="6" t="s">
        <v>44</v>
      </c>
      <c r="C281" s="6" t="s">
        <v>48</v>
      </c>
      <c r="D281" s="6" t="s">
        <v>48</v>
      </c>
      <c r="E281" s="6" t="s">
        <v>49</v>
      </c>
      <c r="F281" s="6">
        <v>108</v>
      </c>
      <c r="G281" s="14">
        <v>128642</v>
      </c>
      <c r="H281" s="15">
        <v>0.40576345408550102</v>
      </c>
      <c r="I281" s="6">
        <v>63</v>
      </c>
      <c r="J281" s="6" t="s">
        <v>32</v>
      </c>
    </row>
    <row r="282" spans="1:10" x14ac:dyDescent="0.15">
      <c r="A282" s="13">
        <v>46028</v>
      </c>
      <c r="B282" s="6" t="s">
        <v>29</v>
      </c>
      <c r="C282" s="6" t="s">
        <v>45</v>
      </c>
      <c r="D282" s="6" t="s">
        <v>45</v>
      </c>
      <c r="E282" s="6" t="s">
        <v>31</v>
      </c>
      <c r="F282" s="6">
        <v>162</v>
      </c>
      <c r="G282" s="14">
        <v>204186</v>
      </c>
      <c r="H282" s="15">
        <v>0.57383216159302097</v>
      </c>
      <c r="I282" s="6">
        <v>73</v>
      </c>
      <c r="J282" s="6" t="s">
        <v>32</v>
      </c>
    </row>
    <row r="283" spans="1:10" x14ac:dyDescent="0.15">
      <c r="A283" s="13">
        <v>46029</v>
      </c>
      <c r="B283" s="6" t="s">
        <v>33</v>
      </c>
      <c r="C283" s="6" t="s">
        <v>54</v>
      </c>
      <c r="D283" s="6" t="s">
        <v>54</v>
      </c>
      <c r="E283" s="6" t="s">
        <v>42</v>
      </c>
      <c r="F283" s="6">
        <v>111</v>
      </c>
      <c r="G283" s="14">
        <v>121367</v>
      </c>
      <c r="H283" s="15">
        <v>0.52044690182083331</v>
      </c>
      <c r="I283" s="6">
        <v>66</v>
      </c>
      <c r="J283" s="6" t="s">
        <v>32</v>
      </c>
    </row>
    <row r="284" spans="1:10" x14ac:dyDescent="0.15">
      <c r="A284" s="13">
        <v>46030</v>
      </c>
      <c r="B284" s="6" t="s">
        <v>34</v>
      </c>
      <c r="C284" s="6" t="s">
        <v>54</v>
      </c>
      <c r="D284" s="6" t="s">
        <v>54</v>
      </c>
      <c r="E284" s="6" t="s">
        <v>38</v>
      </c>
      <c r="F284" s="6">
        <v>116</v>
      </c>
      <c r="G284" s="14">
        <v>162735</v>
      </c>
      <c r="H284" s="15">
        <v>0.43478457747981719</v>
      </c>
      <c r="I284" s="6">
        <v>64</v>
      </c>
      <c r="J284" s="6" t="s">
        <v>32</v>
      </c>
    </row>
    <row r="285" spans="1:10" x14ac:dyDescent="0.15">
      <c r="A285" s="13">
        <v>46031</v>
      </c>
      <c r="B285" s="6" t="s">
        <v>36</v>
      </c>
      <c r="C285" s="6" t="s">
        <v>45</v>
      </c>
      <c r="D285" s="6" t="s">
        <v>45</v>
      </c>
      <c r="E285" s="6" t="s">
        <v>38</v>
      </c>
      <c r="F285" s="6">
        <v>201</v>
      </c>
      <c r="G285" s="14">
        <v>241393</v>
      </c>
      <c r="H285" s="15">
        <v>0.77385994280937254</v>
      </c>
      <c r="I285" s="6">
        <v>59</v>
      </c>
      <c r="J285" s="6" t="s">
        <v>39</v>
      </c>
    </row>
    <row r="286" spans="1:10" x14ac:dyDescent="0.15">
      <c r="A286" s="13">
        <v>46032</v>
      </c>
      <c r="B286" s="6" t="s">
        <v>40</v>
      </c>
      <c r="C286" s="6" t="s">
        <v>52</v>
      </c>
      <c r="D286" s="6" t="s">
        <v>52</v>
      </c>
      <c r="E286" s="6" t="s">
        <v>42</v>
      </c>
      <c r="F286" s="6">
        <v>165</v>
      </c>
      <c r="G286" s="14">
        <v>198529</v>
      </c>
      <c r="H286" s="15">
        <v>0.66539616684883129</v>
      </c>
      <c r="I286" s="6">
        <v>68</v>
      </c>
      <c r="J286" s="6" t="s">
        <v>43</v>
      </c>
    </row>
    <row r="287" spans="1:10" x14ac:dyDescent="0.15">
      <c r="A287" s="13">
        <v>46033</v>
      </c>
      <c r="B287" s="6" t="s">
        <v>41</v>
      </c>
      <c r="C287" s="6" t="s">
        <v>46</v>
      </c>
      <c r="D287" s="6" t="s">
        <v>46</v>
      </c>
      <c r="E287" s="6" t="s">
        <v>31</v>
      </c>
      <c r="F287" s="6">
        <v>144</v>
      </c>
      <c r="G287" s="14">
        <v>175518</v>
      </c>
      <c r="H287" s="15">
        <v>0.5892521576970895</v>
      </c>
      <c r="I287" s="6">
        <v>74</v>
      </c>
      <c r="J287" s="6" t="s">
        <v>32</v>
      </c>
    </row>
    <row r="288" spans="1:10" x14ac:dyDescent="0.15">
      <c r="A288" s="13">
        <v>46034</v>
      </c>
      <c r="B288" s="6" t="s">
        <v>44</v>
      </c>
      <c r="C288" s="6" t="s">
        <v>50</v>
      </c>
      <c r="D288" s="6" t="s">
        <v>50</v>
      </c>
      <c r="E288" s="6" t="s">
        <v>31</v>
      </c>
      <c r="F288" s="6">
        <v>142</v>
      </c>
      <c r="G288" s="14">
        <v>170754</v>
      </c>
      <c r="H288" s="15">
        <v>0.58676186420683885</v>
      </c>
      <c r="I288" s="6">
        <v>67</v>
      </c>
      <c r="J288" s="6" t="s">
        <v>43</v>
      </c>
    </row>
    <row r="289" spans="1:10" x14ac:dyDescent="0.15">
      <c r="A289" s="13">
        <v>46035</v>
      </c>
      <c r="B289" s="6" t="s">
        <v>29</v>
      </c>
      <c r="C289" s="6" t="s">
        <v>54</v>
      </c>
      <c r="D289" s="6" t="s">
        <v>54</v>
      </c>
      <c r="E289" s="6" t="s">
        <v>49</v>
      </c>
      <c r="F289" s="6">
        <v>132</v>
      </c>
      <c r="G289" s="14">
        <v>169092</v>
      </c>
      <c r="H289" s="15">
        <v>0.46379040214955608</v>
      </c>
      <c r="I289" s="6">
        <v>79</v>
      </c>
      <c r="J289" s="6" t="s">
        <v>43</v>
      </c>
    </row>
    <row r="290" spans="1:10" x14ac:dyDescent="0.15">
      <c r="A290" s="13">
        <v>46036</v>
      </c>
      <c r="B290" s="6" t="s">
        <v>33</v>
      </c>
      <c r="C290" s="6" t="s">
        <v>46</v>
      </c>
      <c r="D290" s="6" t="s">
        <v>46</v>
      </c>
      <c r="E290" s="6" t="s">
        <v>38</v>
      </c>
      <c r="F290" s="6">
        <v>178</v>
      </c>
      <c r="G290" s="14">
        <v>228818</v>
      </c>
      <c r="H290" s="15">
        <v>0.68889732376551649</v>
      </c>
      <c r="I290" s="6">
        <v>67</v>
      </c>
      <c r="J290" s="6" t="s">
        <v>39</v>
      </c>
    </row>
    <row r="291" spans="1:10" x14ac:dyDescent="0.15">
      <c r="A291" s="13">
        <v>46037</v>
      </c>
      <c r="B291" s="6" t="s">
        <v>34</v>
      </c>
      <c r="C291" s="6" t="s">
        <v>45</v>
      </c>
      <c r="D291" s="6" t="s">
        <v>45</v>
      </c>
      <c r="E291" s="6" t="s">
        <v>49</v>
      </c>
      <c r="F291" s="6">
        <v>216</v>
      </c>
      <c r="G291" s="14">
        <v>279139</v>
      </c>
      <c r="H291" s="15">
        <v>0.77505815485409935</v>
      </c>
      <c r="I291" s="6">
        <v>76</v>
      </c>
      <c r="J291" s="6" t="s">
        <v>32</v>
      </c>
    </row>
    <row r="292" spans="1:10" x14ac:dyDescent="0.15">
      <c r="A292" s="13">
        <v>46038</v>
      </c>
      <c r="B292" s="6" t="s">
        <v>36</v>
      </c>
      <c r="C292" s="6" t="s">
        <v>52</v>
      </c>
      <c r="D292" s="6" t="s">
        <v>52</v>
      </c>
      <c r="E292" s="6" t="s">
        <v>49</v>
      </c>
      <c r="F292" s="6">
        <v>154</v>
      </c>
      <c r="G292" s="14">
        <v>197394</v>
      </c>
      <c r="H292" s="15">
        <v>0.57601398281260452</v>
      </c>
      <c r="I292" s="6">
        <v>77</v>
      </c>
      <c r="J292" s="6" t="s">
        <v>32</v>
      </c>
    </row>
    <row r="293" spans="1:10" x14ac:dyDescent="0.15">
      <c r="A293" s="13">
        <v>46039</v>
      </c>
      <c r="B293" s="6" t="s">
        <v>40</v>
      </c>
      <c r="C293" s="6" t="s">
        <v>50</v>
      </c>
      <c r="D293" s="6" t="s">
        <v>50</v>
      </c>
      <c r="E293" s="6" t="s">
        <v>42</v>
      </c>
      <c r="F293" s="6">
        <v>141</v>
      </c>
      <c r="G293" s="14">
        <v>166361</v>
      </c>
      <c r="H293" s="15">
        <v>0.49018110523252378</v>
      </c>
      <c r="I293" s="6">
        <v>75</v>
      </c>
      <c r="J293" s="6" t="s">
        <v>32</v>
      </c>
    </row>
    <row r="294" spans="1:10" x14ac:dyDescent="0.15">
      <c r="A294" s="13">
        <v>46040</v>
      </c>
      <c r="B294" s="6" t="s">
        <v>41</v>
      </c>
      <c r="C294" s="6" t="s">
        <v>53</v>
      </c>
      <c r="D294" s="6" t="s">
        <v>53</v>
      </c>
      <c r="E294" s="6" t="s">
        <v>38</v>
      </c>
      <c r="F294" s="6">
        <v>141</v>
      </c>
      <c r="G294" s="14">
        <v>173278</v>
      </c>
      <c r="H294" s="15">
        <v>0.54003911204978083</v>
      </c>
      <c r="I294" s="6">
        <v>74</v>
      </c>
      <c r="J294" s="6" t="s">
        <v>32</v>
      </c>
    </row>
    <row r="295" spans="1:10" x14ac:dyDescent="0.15">
      <c r="A295" s="13">
        <v>46041</v>
      </c>
      <c r="B295" s="6" t="s">
        <v>44</v>
      </c>
      <c r="C295" s="6" t="s">
        <v>48</v>
      </c>
      <c r="D295" s="6" t="s">
        <v>48</v>
      </c>
      <c r="E295" s="6" t="s">
        <v>42</v>
      </c>
      <c r="F295" s="6">
        <v>114</v>
      </c>
      <c r="G295" s="14">
        <v>153330</v>
      </c>
      <c r="H295" s="15">
        <v>0.38440201053324968</v>
      </c>
      <c r="I295" s="6">
        <v>84</v>
      </c>
      <c r="J295" s="6" t="s">
        <v>39</v>
      </c>
    </row>
    <row r="296" spans="1:10" x14ac:dyDescent="0.15">
      <c r="A296" s="13">
        <v>46042</v>
      </c>
      <c r="B296" s="6" t="s">
        <v>29</v>
      </c>
      <c r="C296" s="6" t="s">
        <v>53</v>
      </c>
      <c r="D296" s="6" t="s">
        <v>53</v>
      </c>
      <c r="E296" s="6" t="s">
        <v>31</v>
      </c>
      <c r="F296" s="6">
        <v>136</v>
      </c>
      <c r="G296" s="14">
        <v>165489</v>
      </c>
      <c r="H296" s="15">
        <v>0.55291783646248072</v>
      </c>
      <c r="I296" s="6">
        <v>67</v>
      </c>
      <c r="J296" s="6" t="s">
        <v>39</v>
      </c>
    </row>
    <row r="297" spans="1:10" x14ac:dyDescent="0.15">
      <c r="A297" s="13">
        <v>46043</v>
      </c>
      <c r="B297" s="6" t="s">
        <v>33</v>
      </c>
      <c r="C297" s="6" t="s">
        <v>47</v>
      </c>
      <c r="D297" s="6" t="s">
        <v>47</v>
      </c>
      <c r="E297" s="6" t="s">
        <v>42</v>
      </c>
      <c r="F297" s="6">
        <v>99</v>
      </c>
      <c r="G297" s="14">
        <v>127248</v>
      </c>
      <c r="H297" s="15">
        <v>0.35338042694828442</v>
      </c>
      <c r="I297" s="6">
        <v>59</v>
      </c>
      <c r="J297" s="6" t="s">
        <v>43</v>
      </c>
    </row>
    <row r="298" spans="1:10" x14ac:dyDescent="0.15">
      <c r="A298" s="13">
        <v>46044</v>
      </c>
      <c r="B298" s="6" t="s">
        <v>34</v>
      </c>
      <c r="C298" s="6" t="s">
        <v>48</v>
      </c>
      <c r="D298" s="6" t="s">
        <v>48</v>
      </c>
      <c r="E298" s="6" t="s">
        <v>42</v>
      </c>
      <c r="F298" s="6">
        <v>107</v>
      </c>
      <c r="G298" s="14">
        <v>153718</v>
      </c>
      <c r="H298" s="15">
        <v>0.44003278407519242</v>
      </c>
      <c r="I298" s="6">
        <v>68</v>
      </c>
      <c r="J298" s="6" t="s">
        <v>39</v>
      </c>
    </row>
    <row r="299" spans="1:10" x14ac:dyDescent="0.15">
      <c r="A299" s="13">
        <v>46045</v>
      </c>
      <c r="B299" s="6" t="s">
        <v>36</v>
      </c>
      <c r="C299" s="6" t="s">
        <v>50</v>
      </c>
      <c r="D299" s="6" t="s">
        <v>50</v>
      </c>
      <c r="E299" s="6" t="s">
        <v>42</v>
      </c>
      <c r="F299" s="6">
        <v>107</v>
      </c>
      <c r="G299" s="14">
        <v>142851</v>
      </c>
      <c r="H299" s="15">
        <v>0.3980767577406249</v>
      </c>
      <c r="I299" s="6">
        <v>70</v>
      </c>
      <c r="J299" s="6" t="s">
        <v>32</v>
      </c>
    </row>
    <row r="300" spans="1:10" x14ac:dyDescent="0.15">
      <c r="A300" s="13">
        <v>46046</v>
      </c>
      <c r="B300" s="6" t="s">
        <v>40</v>
      </c>
      <c r="C300" s="6" t="s">
        <v>30</v>
      </c>
      <c r="D300" s="6" t="s">
        <v>30</v>
      </c>
      <c r="E300" s="6" t="s">
        <v>49</v>
      </c>
      <c r="F300" s="6">
        <v>217</v>
      </c>
      <c r="G300" s="14">
        <v>260853</v>
      </c>
      <c r="H300" s="15">
        <v>0.82489132818064193</v>
      </c>
      <c r="I300" s="6">
        <v>63</v>
      </c>
      <c r="J300" s="6" t="s">
        <v>43</v>
      </c>
    </row>
    <row r="301" spans="1:10" x14ac:dyDescent="0.15">
      <c r="A301" s="13">
        <v>46047</v>
      </c>
      <c r="B301" s="6" t="s">
        <v>41</v>
      </c>
      <c r="C301" s="6" t="s">
        <v>48</v>
      </c>
      <c r="D301" s="6" t="s">
        <v>48</v>
      </c>
      <c r="E301" s="6" t="s">
        <v>31</v>
      </c>
      <c r="F301" s="6">
        <v>131</v>
      </c>
      <c r="G301" s="14">
        <v>147454</v>
      </c>
      <c r="H301" s="15">
        <v>0.49514046858197502</v>
      </c>
      <c r="I301" s="6">
        <v>75</v>
      </c>
      <c r="J301" s="6" t="s">
        <v>32</v>
      </c>
    </row>
    <row r="302" spans="1:10" x14ac:dyDescent="0.15">
      <c r="A302" s="13">
        <v>46048</v>
      </c>
      <c r="B302" s="6" t="s">
        <v>44</v>
      </c>
      <c r="C302" s="6" t="s">
        <v>48</v>
      </c>
      <c r="D302" s="6" t="s">
        <v>48</v>
      </c>
      <c r="E302" s="6" t="s">
        <v>49</v>
      </c>
      <c r="F302" s="6">
        <v>175</v>
      </c>
      <c r="G302" s="14">
        <v>221200</v>
      </c>
      <c r="H302" s="15">
        <v>0.63795466911279908</v>
      </c>
      <c r="I302" s="6">
        <v>71</v>
      </c>
      <c r="J302" s="6" t="s">
        <v>39</v>
      </c>
    </row>
    <row r="303" spans="1:10" x14ac:dyDescent="0.15">
      <c r="A303" s="13">
        <v>46049</v>
      </c>
      <c r="B303" s="6" t="s">
        <v>29</v>
      </c>
      <c r="C303" s="6" t="s">
        <v>37</v>
      </c>
      <c r="D303" s="6" t="s">
        <v>37</v>
      </c>
      <c r="E303" s="6" t="s">
        <v>38</v>
      </c>
      <c r="F303" s="6">
        <v>121</v>
      </c>
      <c r="G303" s="14">
        <v>123045</v>
      </c>
      <c r="H303" s="15">
        <v>0.4008785953043062</v>
      </c>
      <c r="I303" s="6">
        <v>58</v>
      </c>
      <c r="J303" s="6" t="s">
        <v>32</v>
      </c>
    </row>
    <row r="304" spans="1:10" x14ac:dyDescent="0.15">
      <c r="A304" s="13">
        <v>46050</v>
      </c>
      <c r="B304" s="6" t="s">
        <v>33</v>
      </c>
      <c r="C304" s="6" t="s">
        <v>52</v>
      </c>
      <c r="D304" s="6" t="s">
        <v>52</v>
      </c>
      <c r="E304" s="6" t="s">
        <v>31</v>
      </c>
      <c r="F304" s="6">
        <v>176</v>
      </c>
      <c r="G304" s="14">
        <v>215358</v>
      </c>
      <c r="H304" s="15">
        <v>0.72929702630877458</v>
      </c>
      <c r="I304" s="6">
        <v>76</v>
      </c>
      <c r="J304" s="6" t="s">
        <v>39</v>
      </c>
    </row>
    <row r="305" spans="1:10" x14ac:dyDescent="0.15">
      <c r="A305" s="13">
        <v>46051</v>
      </c>
      <c r="B305" s="6" t="s">
        <v>34</v>
      </c>
      <c r="C305" s="6" t="s">
        <v>46</v>
      </c>
      <c r="D305" s="6" t="s">
        <v>46</v>
      </c>
      <c r="E305" s="6" t="s">
        <v>38</v>
      </c>
      <c r="F305" s="6">
        <v>198</v>
      </c>
      <c r="G305" s="14">
        <v>242174</v>
      </c>
      <c r="H305" s="15">
        <v>0.71930051996103539</v>
      </c>
      <c r="I305" s="6">
        <v>71</v>
      </c>
      <c r="J305" s="6" t="s">
        <v>32</v>
      </c>
    </row>
    <row r="306" spans="1:10" x14ac:dyDescent="0.15">
      <c r="A306" s="13">
        <v>46052</v>
      </c>
      <c r="B306" s="6" t="s">
        <v>36</v>
      </c>
      <c r="C306" s="6" t="s">
        <v>53</v>
      </c>
      <c r="D306" s="6" t="s">
        <v>53</v>
      </c>
      <c r="E306" s="6" t="s">
        <v>49</v>
      </c>
      <c r="F306" s="6">
        <v>100</v>
      </c>
      <c r="G306" s="14">
        <v>121163</v>
      </c>
      <c r="H306" s="15">
        <v>0.37730109653738891</v>
      </c>
      <c r="I306" s="6">
        <v>65</v>
      </c>
      <c r="J306" s="6" t="s">
        <v>32</v>
      </c>
    </row>
    <row r="307" spans="1:10" x14ac:dyDescent="0.15">
      <c r="A307" s="13">
        <v>46053</v>
      </c>
      <c r="B307" s="6" t="s">
        <v>40</v>
      </c>
      <c r="C307" s="6" t="s">
        <v>47</v>
      </c>
      <c r="D307" s="6" t="s">
        <v>47</v>
      </c>
      <c r="E307" s="6" t="s">
        <v>38</v>
      </c>
      <c r="F307" s="6">
        <v>103</v>
      </c>
      <c r="G307" s="14">
        <v>138012</v>
      </c>
      <c r="H307" s="15">
        <v>0.45818475528062319</v>
      </c>
      <c r="I307" s="6">
        <v>80</v>
      </c>
      <c r="J307" s="6" t="s">
        <v>32</v>
      </c>
    </row>
    <row r="308" spans="1:10" x14ac:dyDescent="0.15">
      <c r="A308" s="13">
        <v>46054</v>
      </c>
      <c r="B308" s="6" t="s">
        <v>41</v>
      </c>
      <c r="C308" s="6" t="s">
        <v>50</v>
      </c>
      <c r="D308" s="6" t="s">
        <v>50</v>
      </c>
      <c r="E308" s="6" t="s">
        <v>31</v>
      </c>
      <c r="F308" s="6">
        <v>131</v>
      </c>
      <c r="G308" s="14">
        <v>158152</v>
      </c>
      <c r="H308" s="15">
        <v>0.46427413705063292</v>
      </c>
      <c r="I308" s="6">
        <v>68</v>
      </c>
      <c r="J308" s="6" t="s">
        <v>39</v>
      </c>
    </row>
    <row r="309" spans="1:10" x14ac:dyDescent="0.15">
      <c r="A309" s="13">
        <v>46055</v>
      </c>
      <c r="B309" s="6" t="s">
        <v>44</v>
      </c>
      <c r="C309" s="6" t="s">
        <v>50</v>
      </c>
      <c r="D309" s="6" t="s">
        <v>50</v>
      </c>
      <c r="E309" s="6" t="s">
        <v>49</v>
      </c>
      <c r="F309" s="6">
        <v>138</v>
      </c>
      <c r="G309" s="14">
        <v>165706</v>
      </c>
      <c r="H309" s="15">
        <v>0.52894422716387945</v>
      </c>
      <c r="I309" s="6">
        <v>66</v>
      </c>
      <c r="J309" s="6" t="s">
        <v>43</v>
      </c>
    </row>
    <row r="310" spans="1:10" x14ac:dyDescent="0.15">
      <c r="A310" s="13">
        <v>46056</v>
      </c>
      <c r="B310" s="6" t="s">
        <v>29</v>
      </c>
      <c r="C310" s="6" t="s">
        <v>35</v>
      </c>
      <c r="D310" s="6" t="s">
        <v>35</v>
      </c>
      <c r="E310" s="6" t="s">
        <v>31</v>
      </c>
      <c r="F310" s="6">
        <v>208</v>
      </c>
      <c r="G310" s="14">
        <v>249519</v>
      </c>
      <c r="H310" s="15">
        <v>0.75587550222528266</v>
      </c>
      <c r="I310" s="6">
        <v>76</v>
      </c>
      <c r="J310" s="6" t="s">
        <v>43</v>
      </c>
    </row>
    <row r="311" spans="1:10" x14ac:dyDescent="0.15">
      <c r="A311" s="13">
        <v>46057</v>
      </c>
      <c r="B311" s="6" t="s">
        <v>33</v>
      </c>
      <c r="C311" s="6" t="s">
        <v>53</v>
      </c>
      <c r="D311" s="6" t="s">
        <v>53</v>
      </c>
      <c r="E311" s="6" t="s">
        <v>49</v>
      </c>
      <c r="F311" s="6">
        <v>130</v>
      </c>
      <c r="G311" s="14">
        <v>164249</v>
      </c>
      <c r="H311" s="15">
        <v>0.52004057165373974</v>
      </c>
      <c r="I311" s="6">
        <v>80</v>
      </c>
      <c r="J311" s="6" t="s">
        <v>39</v>
      </c>
    </row>
    <row r="312" spans="1:10" x14ac:dyDescent="0.15">
      <c r="A312" s="13">
        <v>46058</v>
      </c>
      <c r="B312" s="6" t="s">
        <v>34</v>
      </c>
      <c r="C312" s="6" t="s">
        <v>35</v>
      </c>
      <c r="D312" s="6" t="s">
        <v>35</v>
      </c>
      <c r="E312" s="6" t="s">
        <v>49</v>
      </c>
      <c r="F312" s="6">
        <v>163</v>
      </c>
      <c r="G312" s="14">
        <v>206081</v>
      </c>
      <c r="H312" s="15">
        <v>0.65125363399398417</v>
      </c>
      <c r="I312" s="6">
        <v>78</v>
      </c>
      <c r="J312" s="6" t="s">
        <v>43</v>
      </c>
    </row>
    <row r="313" spans="1:10" x14ac:dyDescent="0.15">
      <c r="A313" s="13">
        <v>46059</v>
      </c>
      <c r="B313" s="6" t="s">
        <v>36</v>
      </c>
      <c r="C313" s="6" t="s">
        <v>46</v>
      </c>
      <c r="D313" s="6" t="s">
        <v>46</v>
      </c>
      <c r="E313" s="6" t="s">
        <v>31</v>
      </c>
      <c r="F313" s="6">
        <v>194</v>
      </c>
      <c r="G313" s="14">
        <v>222504</v>
      </c>
      <c r="H313" s="15">
        <v>0.73073179876231142</v>
      </c>
      <c r="I313" s="6">
        <v>75</v>
      </c>
      <c r="J313" s="6" t="s">
        <v>32</v>
      </c>
    </row>
    <row r="314" spans="1:10" x14ac:dyDescent="0.15">
      <c r="A314" s="13">
        <v>46060</v>
      </c>
      <c r="B314" s="6" t="s">
        <v>40</v>
      </c>
      <c r="C314" s="6" t="s">
        <v>50</v>
      </c>
      <c r="D314" s="6" t="s">
        <v>50</v>
      </c>
      <c r="E314" s="6" t="s">
        <v>42</v>
      </c>
      <c r="F314" s="6">
        <v>124</v>
      </c>
      <c r="G314" s="14">
        <v>138119</v>
      </c>
      <c r="H314" s="15">
        <v>0.44927337041393228</v>
      </c>
      <c r="I314" s="6">
        <v>64</v>
      </c>
      <c r="J314" s="6" t="s">
        <v>39</v>
      </c>
    </row>
    <row r="315" spans="1:10" x14ac:dyDescent="0.15">
      <c r="A315" s="13">
        <v>46061</v>
      </c>
      <c r="B315" s="6" t="s">
        <v>41</v>
      </c>
      <c r="C315" s="6" t="s">
        <v>47</v>
      </c>
      <c r="D315" s="6" t="s">
        <v>47</v>
      </c>
      <c r="E315" s="6" t="s">
        <v>49</v>
      </c>
      <c r="F315" s="6">
        <v>166</v>
      </c>
      <c r="G315" s="14">
        <v>189702</v>
      </c>
      <c r="H315" s="15">
        <v>0.62419945487973838</v>
      </c>
      <c r="I315" s="6">
        <v>61</v>
      </c>
      <c r="J315" s="6" t="s">
        <v>32</v>
      </c>
    </row>
    <row r="316" spans="1:10" x14ac:dyDescent="0.15">
      <c r="A316" s="13">
        <v>46062</v>
      </c>
      <c r="B316" s="6" t="s">
        <v>44</v>
      </c>
      <c r="C316" s="6" t="s">
        <v>52</v>
      </c>
      <c r="D316" s="6" t="s">
        <v>52</v>
      </c>
      <c r="E316" s="6" t="s">
        <v>42</v>
      </c>
      <c r="F316" s="6">
        <v>176</v>
      </c>
      <c r="G316" s="14">
        <v>222974</v>
      </c>
      <c r="H316" s="15">
        <v>0.64088529933251936</v>
      </c>
      <c r="I316" s="6">
        <v>84</v>
      </c>
      <c r="J316" s="6" t="s">
        <v>39</v>
      </c>
    </row>
    <row r="317" spans="1:10" x14ac:dyDescent="0.15">
      <c r="A317" s="13">
        <v>46063</v>
      </c>
      <c r="B317" s="6" t="s">
        <v>29</v>
      </c>
      <c r="C317" s="6" t="s">
        <v>53</v>
      </c>
      <c r="D317" s="6" t="s">
        <v>53</v>
      </c>
      <c r="E317" s="6" t="s">
        <v>38</v>
      </c>
      <c r="F317" s="6">
        <v>111</v>
      </c>
      <c r="G317" s="14">
        <v>115989</v>
      </c>
      <c r="H317" s="15">
        <v>0.33507000388707098</v>
      </c>
      <c r="I317" s="6">
        <v>42</v>
      </c>
      <c r="J317" s="6" t="s">
        <v>32</v>
      </c>
    </row>
    <row r="318" spans="1:10" x14ac:dyDescent="0.15">
      <c r="A318" s="13">
        <v>46064</v>
      </c>
      <c r="B318" s="6" t="s">
        <v>33</v>
      </c>
      <c r="C318" s="6" t="s">
        <v>52</v>
      </c>
      <c r="D318" s="6" t="s">
        <v>52</v>
      </c>
      <c r="E318" s="6" t="s">
        <v>42</v>
      </c>
      <c r="F318" s="6">
        <v>196</v>
      </c>
      <c r="G318" s="14">
        <v>264314</v>
      </c>
      <c r="H318" s="15">
        <v>0.70255975246837743</v>
      </c>
      <c r="I318" s="6">
        <v>67</v>
      </c>
      <c r="J318" s="6" t="s">
        <v>32</v>
      </c>
    </row>
    <row r="319" spans="1:10" x14ac:dyDescent="0.15">
      <c r="A319" s="13">
        <v>46065</v>
      </c>
      <c r="B319" s="6" t="s">
        <v>34</v>
      </c>
      <c r="C319" s="6" t="s">
        <v>52</v>
      </c>
      <c r="D319" s="6" t="s">
        <v>52</v>
      </c>
      <c r="E319" s="6" t="s">
        <v>31</v>
      </c>
      <c r="F319" s="6">
        <v>202</v>
      </c>
      <c r="G319" s="14">
        <v>222120</v>
      </c>
      <c r="H319" s="15">
        <v>0.73603624768010112</v>
      </c>
      <c r="I319" s="6">
        <v>77</v>
      </c>
      <c r="J319" s="6" t="s">
        <v>39</v>
      </c>
    </row>
    <row r="320" spans="1:10" x14ac:dyDescent="0.15">
      <c r="A320" s="13">
        <v>46066</v>
      </c>
      <c r="B320" s="6" t="s">
        <v>36</v>
      </c>
      <c r="C320" s="6" t="s">
        <v>53</v>
      </c>
      <c r="D320" s="6" t="s">
        <v>53</v>
      </c>
      <c r="E320" s="6" t="s">
        <v>42</v>
      </c>
      <c r="F320" s="6">
        <v>141</v>
      </c>
      <c r="G320" s="14">
        <v>178414</v>
      </c>
      <c r="H320" s="15">
        <v>0.54933169739604304</v>
      </c>
      <c r="I320" s="6">
        <v>64</v>
      </c>
      <c r="J320" s="6" t="s">
        <v>32</v>
      </c>
    </row>
    <row r="321" spans="1:10" x14ac:dyDescent="0.15">
      <c r="A321" s="13">
        <v>46067</v>
      </c>
      <c r="B321" s="6" t="s">
        <v>40</v>
      </c>
      <c r="C321" s="6" t="s">
        <v>50</v>
      </c>
      <c r="D321" s="6" t="s">
        <v>50</v>
      </c>
      <c r="E321" s="6" t="s">
        <v>49</v>
      </c>
      <c r="F321" s="6">
        <v>156</v>
      </c>
      <c r="G321" s="14">
        <v>197194</v>
      </c>
      <c r="H321" s="15">
        <v>0.5971971306351177</v>
      </c>
      <c r="I321" s="6">
        <v>54</v>
      </c>
      <c r="J321" s="6" t="s">
        <v>32</v>
      </c>
    </row>
    <row r="322" spans="1:10" x14ac:dyDescent="0.15">
      <c r="A322" s="13">
        <v>46068</v>
      </c>
      <c r="B322" s="6" t="s">
        <v>41</v>
      </c>
      <c r="C322" s="6" t="s">
        <v>50</v>
      </c>
      <c r="D322" s="6" t="s">
        <v>50</v>
      </c>
      <c r="E322" s="6" t="s">
        <v>31</v>
      </c>
      <c r="F322" s="6">
        <v>151</v>
      </c>
      <c r="G322" s="14">
        <v>157625</v>
      </c>
      <c r="H322" s="15">
        <v>0.5371544742512071</v>
      </c>
      <c r="I322" s="6">
        <v>79</v>
      </c>
      <c r="J322" s="6" t="s">
        <v>32</v>
      </c>
    </row>
    <row r="323" spans="1:10" x14ac:dyDescent="0.15">
      <c r="A323" s="13">
        <v>46069</v>
      </c>
      <c r="B323" s="6" t="s">
        <v>44</v>
      </c>
      <c r="C323" s="6" t="s">
        <v>51</v>
      </c>
      <c r="D323" s="6" t="s">
        <v>51</v>
      </c>
      <c r="E323" s="6" t="s">
        <v>31</v>
      </c>
      <c r="F323" s="6">
        <v>193</v>
      </c>
      <c r="G323" s="14">
        <v>238961</v>
      </c>
      <c r="H323" s="15">
        <v>0.77046105597658954</v>
      </c>
      <c r="I323" s="6">
        <v>66</v>
      </c>
      <c r="J323" s="6" t="s">
        <v>43</v>
      </c>
    </row>
    <row r="324" spans="1:10" x14ac:dyDescent="0.15">
      <c r="A324" s="13">
        <v>46070</v>
      </c>
      <c r="B324" s="6" t="s">
        <v>29</v>
      </c>
      <c r="C324" s="6" t="s">
        <v>37</v>
      </c>
      <c r="D324" s="6" t="s">
        <v>37</v>
      </c>
      <c r="E324" s="6" t="s">
        <v>38</v>
      </c>
      <c r="F324" s="6">
        <v>116</v>
      </c>
      <c r="G324" s="14">
        <v>156039</v>
      </c>
      <c r="H324" s="15">
        <v>0.34237359165920361</v>
      </c>
      <c r="I324" s="6">
        <v>77</v>
      </c>
      <c r="J324" s="6" t="s">
        <v>32</v>
      </c>
    </row>
    <row r="325" spans="1:10" x14ac:dyDescent="0.15">
      <c r="A325" s="13">
        <v>46071</v>
      </c>
      <c r="B325" s="6" t="s">
        <v>33</v>
      </c>
      <c r="C325" s="6" t="s">
        <v>48</v>
      </c>
      <c r="D325" s="6" t="s">
        <v>48</v>
      </c>
      <c r="E325" s="6" t="s">
        <v>38</v>
      </c>
      <c r="F325" s="6">
        <v>135</v>
      </c>
      <c r="G325" s="14">
        <v>163626</v>
      </c>
      <c r="H325" s="15">
        <v>0.52564696779904208</v>
      </c>
      <c r="I325" s="6">
        <v>75</v>
      </c>
      <c r="J325" s="6" t="s">
        <v>32</v>
      </c>
    </row>
    <row r="326" spans="1:10" x14ac:dyDescent="0.15">
      <c r="A326" s="13">
        <v>46072</v>
      </c>
      <c r="B326" s="6" t="s">
        <v>34</v>
      </c>
      <c r="C326" s="6" t="s">
        <v>50</v>
      </c>
      <c r="D326" s="6" t="s">
        <v>50</v>
      </c>
      <c r="E326" s="6" t="s">
        <v>49</v>
      </c>
      <c r="F326" s="6">
        <v>127</v>
      </c>
      <c r="G326" s="14">
        <v>146964</v>
      </c>
      <c r="H326" s="15">
        <v>0.51733242574830407</v>
      </c>
      <c r="I326" s="6">
        <v>67</v>
      </c>
      <c r="J326" s="6" t="s">
        <v>43</v>
      </c>
    </row>
    <row r="327" spans="1:10" x14ac:dyDescent="0.15">
      <c r="A327" s="13">
        <v>46073</v>
      </c>
      <c r="B327" s="6" t="s">
        <v>36</v>
      </c>
      <c r="C327" s="6" t="s">
        <v>35</v>
      </c>
      <c r="D327" s="6" t="s">
        <v>35</v>
      </c>
      <c r="E327" s="6" t="s">
        <v>42</v>
      </c>
      <c r="F327" s="6">
        <v>216</v>
      </c>
      <c r="G327" s="14">
        <v>262958</v>
      </c>
      <c r="H327" s="15">
        <v>0.92628491333422491</v>
      </c>
      <c r="I327" s="6">
        <v>65</v>
      </c>
      <c r="J327" s="6" t="s">
        <v>32</v>
      </c>
    </row>
    <row r="328" spans="1:10" x14ac:dyDescent="0.15">
      <c r="A328" s="13">
        <v>46074</v>
      </c>
      <c r="B328" s="6" t="s">
        <v>40</v>
      </c>
      <c r="C328" s="6" t="s">
        <v>52</v>
      </c>
      <c r="D328" s="6" t="s">
        <v>52</v>
      </c>
      <c r="E328" s="6" t="s">
        <v>42</v>
      </c>
      <c r="F328" s="6">
        <v>210</v>
      </c>
      <c r="G328" s="14">
        <v>268811</v>
      </c>
      <c r="H328" s="15">
        <v>0.8087280441298379</v>
      </c>
      <c r="I328" s="6">
        <v>93</v>
      </c>
      <c r="J328" s="6" t="s">
        <v>39</v>
      </c>
    </row>
    <row r="329" spans="1:10" x14ac:dyDescent="0.15">
      <c r="A329" s="13">
        <v>46075</v>
      </c>
      <c r="B329" s="6" t="s">
        <v>41</v>
      </c>
      <c r="C329" s="6" t="s">
        <v>47</v>
      </c>
      <c r="D329" s="6" t="s">
        <v>47</v>
      </c>
      <c r="E329" s="6" t="s">
        <v>38</v>
      </c>
      <c r="F329" s="6">
        <v>135</v>
      </c>
      <c r="G329" s="14">
        <v>152276</v>
      </c>
      <c r="H329" s="15">
        <v>0.57462375684485045</v>
      </c>
      <c r="I329" s="6">
        <v>74</v>
      </c>
      <c r="J329" s="6" t="s">
        <v>32</v>
      </c>
    </row>
    <row r="330" spans="1:10" x14ac:dyDescent="0.15">
      <c r="A330" s="13">
        <v>46076</v>
      </c>
      <c r="B330" s="6" t="s">
        <v>44</v>
      </c>
      <c r="C330" s="6" t="s">
        <v>50</v>
      </c>
      <c r="D330" s="6" t="s">
        <v>50</v>
      </c>
      <c r="E330" s="6" t="s">
        <v>31</v>
      </c>
      <c r="F330" s="6">
        <v>117</v>
      </c>
      <c r="G330" s="14">
        <v>143129</v>
      </c>
      <c r="H330" s="15">
        <v>0.38859426420272147</v>
      </c>
      <c r="I330" s="6">
        <v>60</v>
      </c>
      <c r="J330" s="6" t="s">
        <v>32</v>
      </c>
    </row>
    <row r="331" spans="1:10" x14ac:dyDescent="0.15">
      <c r="A331" s="13">
        <v>46077</v>
      </c>
      <c r="B331" s="6" t="s">
        <v>29</v>
      </c>
      <c r="C331" s="6" t="s">
        <v>47</v>
      </c>
      <c r="D331" s="6" t="s">
        <v>47</v>
      </c>
      <c r="E331" s="6" t="s">
        <v>38</v>
      </c>
      <c r="F331" s="6">
        <v>156</v>
      </c>
      <c r="G331" s="14">
        <v>168346</v>
      </c>
      <c r="H331" s="15">
        <v>0.52644639484057609</v>
      </c>
      <c r="I331" s="6">
        <v>80</v>
      </c>
      <c r="J331" s="6" t="s">
        <v>32</v>
      </c>
    </row>
    <row r="332" spans="1:10" x14ac:dyDescent="0.15">
      <c r="A332" s="13">
        <v>46078</v>
      </c>
      <c r="B332" s="6" t="s">
        <v>33</v>
      </c>
      <c r="C332" s="6" t="s">
        <v>47</v>
      </c>
      <c r="D332" s="6" t="s">
        <v>47</v>
      </c>
      <c r="E332" s="6" t="s">
        <v>49</v>
      </c>
      <c r="F332" s="6">
        <v>145</v>
      </c>
      <c r="G332" s="14">
        <v>162948</v>
      </c>
      <c r="H332" s="15">
        <v>0.51777651638883759</v>
      </c>
      <c r="I332" s="6">
        <v>63</v>
      </c>
      <c r="J332" s="6" t="s">
        <v>39</v>
      </c>
    </row>
    <row r="333" spans="1:10" x14ac:dyDescent="0.15">
      <c r="A333" s="13">
        <v>46079</v>
      </c>
      <c r="B333" s="6" t="s">
        <v>34</v>
      </c>
      <c r="C333" s="6" t="s">
        <v>46</v>
      </c>
      <c r="D333" s="6" t="s">
        <v>46</v>
      </c>
      <c r="E333" s="6" t="s">
        <v>31</v>
      </c>
      <c r="F333" s="6">
        <v>217</v>
      </c>
      <c r="G333" s="14">
        <v>277040</v>
      </c>
      <c r="H333" s="15">
        <v>0.8171653903134144</v>
      </c>
      <c r="I333" s="6">
        <v>73</v>
      </c>
      <c r="J333" s="6" t="s">
        <v>32</v>
      </c>
    </row>
    <row r="334" spans="1:10" x14ac:dyDescent="0.15">
      <c r="A334" s="13">
        <v>46080</v>
      </c>
      <c r="B334" s="6" t="s">
        <v>36</v>
      </c>
      <c r="C334" s="6" t="s">
        <v>45</v>
      </c>
      <c r="D334" s="6" t="s">
        <v>45</v>
      </c>
      <c r="E334" s="6" t="s">
        <v>38</v>
      </c>
      <c r="F334" s="6">
        <v>211</v>
      </c>
      <c r="G334" s="14">
        <v>256770</v>
      </c>
      <c r="H334" s="15">
        <v>0.88821360283589168</v>
      </c>
      <c r="I334" s="6">
        <v>71</v>
      </c>
      <c r="J334" s="6" t="s">
        <v>43</v>
      </c>
    </row>
    <row r="335" spans="1:10" x14ac:dyDescent="0.15">
      <c r="A335" s="13">
        <v>46081</v>
      </c>
      <c r="B335" s="6" t="s">
        <v>40</v>
      </c>
      <c r="C335" s="6" t="s">
        <v>45</v>
      </c>
      <c r="D335" s="6" t="s">
        <v>45</v>
      </c>
      <c r="E335" s="6" t="s">
        <v>31</v>
      </c>
      <c r="F335" s="6">
        <v>200</v>
      </c>
      <c r="G335" s="14">
        <v>236478</v>
      </c>
      <c r="H335" s="15">
        <v>0.71674838443131073</v>
      </c>
      <c r="I335" s="6">
        <v>84</v>
      </c>
      <c r="J335" s="6" t="s">
        <v>32</v>
      </c>
    </row>
    <row r="336" spans="1:10" x14ac:dyDescent="0.15">
      <c r="A336" s="13">
        <v>46082</v>
      </c>
      <c r="B336" s="6" t="s">
        <v>41</v>
      </c>
      <c r="C336" s="6" t="s">
        <v>37</v>
      </c>
      <c r="D336" s="6" t="s">
        <v>37</v>
      </c>
      <c r="E336" s="6" t="s">
        <v>42</v>
      </c>
      <c r="F336" s="6">
        <v>144</v>
      </c>
      <c r="G336" s="14">
        <v>151455</v>
      </c>
      <c r="H336" s="15">
        <v>0.5400279856469804</v>
      </c>
      <c r="I336" s="6">
        <v>69</v>
      </c>
      <c r="J336" s="6" t="s">
        <v>32</v>
      </c>
    </row>
    <row r="337" spans="1:10" x14ac:dyDescent="0.15">
      <c r="A337" s="13">
        <v>46083</v>
      </c>
      <c r="B337" s="6" t="s">
        <v>44</v>
      </c>
      <c r="C337" s="6" t="s">
        <v>48</v>
      </c>
      <c r="D337" s="6" t="s">
        <v>48</v>
      </c>
      <c r="E337" s="6" t="s">
        <v>38</v>
      </c>
      <c r="F337" s="6">
        <v>153</v>
      </c>
      <c r="G337" s="14">
        <v>186585</v>
      </c>
      <c r="H337" s="15">
        <v>0.55076014333822954</v>
      </c>
      <c r="I337" s="6">
        <v>68</v>
      </c>
      <c r="J337" s="6" t="s">
        <v>32</v>
      </c>
    </row>
    <row r="338" spans="1:10" x14ac:dyDescent="0.15">
      <c r="A338" s="13">
        <v>46084</v>
      </c>
      <c r="B338" s="6" t="s">
        <v>29</v>
      </c>
      <c r="C338" s="6" t="s">
        <v>45</v>
      </c>
      <c r="D338" s="6" t="s">
        <v>45</v>
      </c>
      <c r="E338" s="6" t="s">
        <v>49</v>
      </c>
      <c r="F338" s="6">
        <v>212</v>
      </c>
      <c r="G338" s="14">
        <v>257705</v>
      </c>
      <c r="H338" s="15">
        <v>0.82443379004963491</v>
      </c>
      <c r="I338" s="6">
        <v>74</v>
      </c>
      <c r="J338" s="6" t="s">
        <v>39</v>
      </c>
    </row>
    <row r="339" spans="1:10" x14ac:dyDescent="0.15">
      <c r="A339" s="13">
        <v>46085</v>
      </c>
      <c r="B339" s="6" t="s">
        <v>33</v>
      </c>
      <c r="C339" s="6" t="s">
        <v>30</v>
      </c>
      <c r="D339" s="6" t="s">
        <v>30</v>
      </c>
      <c r="E339" s="6" t="s">
        <v>42</v>
      </c>
      <c r="F339" s="6">
        <v>179</v>
      </c>
      <c r="G339" s="14">
        <v>241203</v>
      </c>
      <c r="H339" s="15">
        <v>0.72773944076635666</v>
      </c>
      <c r="I339" s="6">
        <v>82</v>
      </c>
      <c r="J339" s="6" t="s">
        <v>32</v>
      </c>
    </row>
    <row r="340" spans="1:10" x14ac:dyDescent="0.15">
      <c r="A340" s="13">
        <v>46086</v>
      </c>
      <c r="B340" s="6" t="s">
        <v>34</v>
      </c>
      <c r="C340" s="6" t="s">
        <v>30</v>
      </c>
      <c r="D340" s="6" t="s">
        <v>30</v>
      </c>
      <c r="E340" s="6" t="s">
        <v>42</v>
      </c>
      <c r="F340" s="6">
        <v>191</v>
      </c>
      <c r="G340" s="14">
        <v>232721</v>
      </c>
      <c r="H340" s="15">
        <v>0.71246209027178886</v>
      </c>
      <c r="I340" s="6">
        <v>65</v>
      </c>
      <c r="J340" s="6" t="s">
        <v>32</v>
      </c>
    </row>
    <row r="341" spans="1:10" x14ac:dyDescent="0.15">
      <c r="A341" s="13">
        <v>46087</v>
      </c>
      <c r="B341" s="6" t="s">
        <v>36</v>
      </c>
      <c r="C341" s="6" t="s">
        <v>54</v>
      </c>
      <c r="D341" s="6" t="s">
        <v>54</v>
      </c>
      <c r="E341" s="6" t="s">
        <v>31</v>
      </c>
      <c r="F341" s="6">
        <v>118</v>
      </c>
      <c r="G341" s="14">
        <v>129417</v>
      </c>
      <c r="H341" s="15">
        <v>0.46908316057293231</v>
      </c>
      <c r="I341" s="6">
        <v>86</v>
      </c>
      <c r="J341" s="6" t="s">
        <v>32</v>
      </c>
    </row>
    <row r="342" spans="1:10" x14ac:dyDescent="0.15">
      <c r="A342" s="13">
        <v>46088</v>
      </c>
      <c r="B342" s="6" t="s">
        <v>40</v>
      </c>
      <c r="C342" s="6" t="s">
        <v>37</v>
      </c>
      <c r="D342" s="6" t="s">
        <v>37</v>
      </c>
      <c r="E342" s="6" t="s">
        <v>38</v>
      </c>
      <c r="F342" s="6">
        <v>164</v>
      </c>
      <c r="G342" s="14">
        <v>192773</v>
      </c>
      <c r="H342" s="15">
        <v>0.64875981721613485</v>
      </c>
      <c r="I342" s="6">
        <v>72</v>
      </c>
      <c r="J342" s="6" t="s">
        <v>32</v>
      </c>
    </row>
    <row r="343" spans="1:10" x14ac:dyDescent="0.15">
      <c r="A343" s="13">
        <v>46089</v>
      </c>
      <c r="B343" s="6" t="s">
        <v>41</v>
      </c>
      <c r="C343" s="6" t="s">
        <v>30</v>
      </c>
      <c r="D343" s="6" t="s">
        <v>30</v>
      </c>
      <c r="E343" s="6" t="s">
        <v>31</v>
      </c>
      <c r="F343" s="6">
        <v>224</v>
      </c>
      <c r="G343" s="14">
        <v>258915</v>
      </c>
      <c r="H343" s="15">
        <v>0.84806037843695914</v>
      </c>
      <c r="I343" s="6">
        <v>81</v>
      </c>
      <c r="J343" s="6" t="s">
        <v>32</v>
      </c>
    </row>
    <row r="344" spans="1:10" x14ac:dyDescent="0.15">
      <c r="A344" s="13">
        <v>46090</v>
      </c>
      <c r="B344" s="6" t="s">
        <v>44</v>
      </c>
      <c r="C344" s="6" t="s">
        <v>37</v>
      </c>
      <c r="D344" s="6" t="s">
        <v>37</v>
      </c>
      <c r="E344" s="6" t="s">
        <v>42</v>
      </c>
      <c r="F344" s="6">
        <v>119</v>
      </c>
      <c r="G344" s="14">
        <v>124920</v>
      </c>
      <c r="H344" s="15">
        <v>0.46472405318211329</v>
      </c>
      <c r="I344" s="6">
        <v>62</v>
      </c>
      <c r="J344" s="6" t="s">
        <v>39</v>
      </c>
    </row>
    <row r="345" spans="1:10" x14ac:dyDescent="0.15">
      <c r="A345" s="13">
        <v>46091</v>
      </c>
      <c r="B345" s="6" t="s">
        <v>29</v>
      </c>
      <c r="C345" s="6" t="s">
        <v>53</v>
      </c>
      <c r="D345" s="6" t="s">
        <v>53</v>
      </c>
      <c r="E345" s="6" t="s">
        <v>42</v>
      </c>
      <c r="F345" s="6">
        <v>128</v>
      </c>
      <c r="G345" s="14">
        <v>146246</v>
      </c>
      <c r="H345" s="15">
        <v>0.49648192785099737</v>
      </c>
      <c r="I345" s="6">
        <v>69</v>
      </c>
      <c r="J345" s="6" t="s">
        <v>43</v>
      </c>
    </row>
    <row r="346" spans="1:10" x14ac:dyDescent="0.15">
      <c r="A346" s="13">
        <v>46092</v>
      </c>
      <c r="B346" s="6" t="s">
        <v>33</v>
      </c>
      <c r="C346" s="6" t="s">
        <v>54</v>
      </c>
      <c r="D346" s="6" t="s">
        <v>54</v>
      </c>
      <c r="E346" s="6" t="s">
        <v>49</v>
      </c>
      <c r="F346" s="6">
        <v>148</v>
      </c>
      <c r="G346" s="14">
        <v>161224</v>
      </c>
      <c r="H346" s="15">
        <v>0.53404553535865351</v>
      </c>
      <c r="I346" s="6">
        <v>79</v>
      </c>
      <c r="J346" s="6" t="s">
        <v>39</v>
      </c>
    </row>
    <row r="347" spans="1:10" x14ac:dyDescent="0.15">
      <c r="A347" s="13">
        <v>46093</v>
      </c>
      <c r="B347" s="6" t="s">
        <v>34</v>
      </c>
      <c r="C347" s="6" t="s">
        <v>30</v>
      </c>
      <c r="D347" s="6" t="s">
        <v>30</v>
      </c>
      <c r="E347" s="6" t="s">
        <v>38</v>
      </c>
      <c r="F347" s="6">
        <v>207</v>
      </c>
      <c r="G347" s="14">
        <v>253264</v>
      </c>
      <c r="H347" s="15">
        <v>0.87155692436344223</v>
      </c>
      <c r="I347" s="6">
        <v>62</v>
      </c>
      <c r="J347" s="6" t="s">
        <v>39</v>
      </c>
    </row>
    <row r="348" spans="1:10" x14ac:dyDescent="0.15">
      <c r="A348" s="13">
        <v>46094</v>
      </c>
      <c r="B348" s="6" t="s">
        <v>36</v>
      </c>
      <c r="C348" s="6" t="s">
        <v>53</v>
      </c>
      <c r="D348" s="6" t="s">
        <v>53</v>
      </c>
      <c r="E348" s="6" t="s">
        <v>49</v>
      </c>
      <c r="F348" s="6">
        <v>117</v>
      </c>
      <c r="G348" s="14">
        <v>142513</v>
      </c>
      <c r="H348" s="15">
        <v>0.42240149910636487</v>
      </c>
      <c r="I348" s="6">
        <v>62</v>
      </c>
      <c r="J348" s="6" t="s">
        <v>32</v>
      </c>
    </row>
    <row r="349" spans="1:10" x14ac:dyDescent="0.15">
      <c r="A349" s="13">
        <v>46095</v>
      </c>
      <c r="B349" s="6" t="s">
        <v>40</v>
      </c>
      <c r="C349" s="6" t="s">
        <v>47</v>
      </c>
      <c r="D349" s="6" t="s">
        <v>47</v>
      </c>
      <c r="E349" s="6" t="s">
        <v>49</v>
      </c>
      <c r="F349" s="6">
        <v>186</v>
      </c>
      <c r="G349" s="14">
        <v>234217</v>
      </c>
      <c r="H349" s="15">
        <v>0.73546037443086887</v>
      </c>
      <c r="I349" s="6">
        <v>67</v>
      </c>
      <c r="J349" s="6" t="s">
        <v>43</v>
      </c>
    </row>
    <row r="350" spans="1:10" x14ac:dyDescent="0.15">
      <c r="A350" s="13">
        <v>46096</v>
      </c>
      <c r="B350" s="6" t="s">
        <v>41</v>
      </c>
      <c r="C350" s="6" t="s">
        <v>47</v>
      </c>
      <c r="D350" s="6" t="s">
        <v>47</v>
      </c>
      <c r="E350" s="6" t="s">
        <v>49</v>
      </c>
      <c r="F350" s="6">
        <v>141</v>
      </c>
      <c r="G350" s="14">
        <v>149373</v>
      </c>
      <c r="H350" s="15">
        <v>0.54919463501632748</v>
      </c>
      <c r="I350" s="6">
        <v>65</v>
      </c>
      <c r="J350" s="6" t="s">
        <v>32</v>
      </c>
    </row>
    <row r="351" spans="1:10" x14ac:dyDescent="0.15">
      <c r="A351" s="13">
        <v>46097</v>
      </c>
      <c r="B351" s="6" t="s">
        <v>44</v>
      </c>
      <c r="C351" s="6" t="s">
        <v>54</v>
      </c>
      <c r="D351" s="6" t="s">
        <v>54</v>
      </c>
      <c r="E351" s="6" t="s">
        <v>49</v>
      </c>
      <c r="F351" s="6">
        <v>129</v>
      </c>
      <c r="G351" s="14">
        <v>148311</v>
      </c>
      <c r="H351" s="15">
        <v>0.47035289740503949</v>
      </c>
      <c r="I351" s="6">
        <v>59</v>
      </c>
      <c r="J351" s="6" t="s">
        <v>32</v>
      </c>
    </row>
    <row r="352" spans="1:10" x14ac:dyDescent="0.15">
      <c r="A352" s="13">
        <v>46098</v>
      </c>
      <c r="B352" s="6" t="s">
        <v>29</v>
      </c>
      <c r="C352" s="6" t="s">
        <v>51</v>
      </c>
      <c r="D352" s="6" t="s">
        <v>51</v>
      </c>
      <c r="E352" s="6" t="s">
        <v>38</v>
      </c>
      <c r="F352" s="6">
        <v>186</v>
      </c>
      <c r="G352" s="14">
        <v>223792</v>
      </c>
      <c r="H352" s="15">
        <v>0.75612892379955632</v>
      </c>
      <c r="I352" s="6">
        <v>75</v>
      </c>
      <c r="J352" s="6" t="s">
        <v>43</v>
      </c>
    </row>
    <row r="353" spans="1:10" x14ac:dyDescent="0.15">
      <c r="A353" s="13">
        <v>46099</v>
      </c>
      <c r="B353" s="6" t="s">
        <v>33</v>
      </c>
      <c r="C353" s="6" t="s">
        <v>52</v>
      </c>
      <c r="D353" s="6" t="s">
        <v>52</v>
      </c>
      <c r="E353" s="6" t="s">
        <v>31</v>
      </c>
      <c r="F353" s="6">
        <v>189</v>
      </c>
      <c r="G353" s="14">
        <v>209960</v>
      </c>
      <c r="H353" s="15">
        <v>0.72504567218424043</v>
      </c>
      <c r="I353" s="6">
        <v>74</v>
      </c>
      <c r="J353" s="6" t="s">
        <v>32</v>
      </c>
    </row>
    <row r="354" spans="1:10" x14ac:dyDescent="0.15">
      <c r="A354" s="13">
        <v>46100</v>
      </c>
      <c r="B354" s="6" t="s">
        <v>34</v>
      </c>
      <c r="C354" s="6" t="s">
        <v>47</v>
      </c>
      <c r="D354" s="6" t="s">
        <v>47</v>
      </c>
      <c r="E354" s="6" t="s">
        <v>38</v>
      </c>
      <c r="F354" s="6">
        <v>125</v>
      </c>
      <c r="G354" s="14">
        <v>147350</v>
      </c>
      <c r="H354" s="15">
        <v>0.52935585833033827</v>
      </c>
      <c r="I354" s="6">
        <v>66</v>
      </c>
      <c r="J354" s="6" t="s">
        <v>39</v>
      </c>
    </row>
    <row r="355" spans="1:10" x14ac:dyDescent="0.15">
      <c r="A355" s="13">
        <v>46101</v>
      </c>
      <c r="B355" s="6" t="s">
        <v>36</v>
      </c>
      <c r="C355" s="6" t="s">
        <v>30</v>
      </c>
      <c r="D355" s="6" t="s">
        <v>30</v>
      </c>
      <c r="E355" s="6" t="s">
        <v>49</v>
      </c>
      <c r="F355" s="6">
        <v>172</v>
      </c>
      <c r="G355" s="14">
        <v>209878</v>
      </c>
      <c r="H355" s="15">
        <v>0.64343627202815612</v>
      </c>
      <c r="I355" s="6">
        <v>76</v>
      </c>
      <c r="J355" s="6" t="s">
        <v>32</v>
      </c>
    </row>
    <row r="356" spans="1:10" x14ac:dyDescent="0.15">
      <c r="A356" s="13">
        <v>46102</v>
      </c>
      <c r="B356" s="6" t="s">
        <v>40</v>
      </c>
      <c r="C356" s="6" t="s">
        <v>52</v>
      </c>
      <c r="D356" s="6" t="s">
        <v>52</v>
      </c>
      <c r="E356" s="6" t="s">
        <v>38</v>
      </c>
      <c r="F356" s="6">
        <v>205</v>
      </c>
      <c r="G356" s="14">
        <v>253340</v>
      </c>
      <c r="H356" s="15">
        <v>0.79193476873771662</v>
      </c>
      <c r="I356" s="6">
        <v>77</v>
      </c>
      <c r="J356" s="6" t="s">
        <v>32</v>
      </c>
    </row>
    <row r="357" spans="1:10" x14ac:dyDescent="0.15">
      <c r="A357" s="13">
        <v>46103</v>
      </c>
      <c r="B357" s="6" t="s">
        <v>41</v>
      </c>
      <c r="C357" s="6" t="s">
        <v>54</v>
      </c>
      <c r="D357" s="6" t="s">
        <v>54</v>
      </c>
      <c r="E357" s="6" t="s">
        <v>38</v>
      </c>
      <c r="F357" s="6">
        <v>154</v>
      </c>
      <c r="G357" s="14">
        <v>176558</v>
      </c>
      <c r="H357" s="15">
        <v>0.60140963370730049</v>
      </c>
      <c r="I357" s="6">
        <v>69</v>
      </c>
      <c r="J357" s="6" t="s">
        <v>39</v>
      </c>
    </row>
    <row r="358" spans="1:10" x14ac:dyDescent="0.15">
      <c r="A358" s="13">
        <v>46104</v>
      </c>
      <c r="B358" s="6" t="s">
        <v>44</v>
      </c>
      <c r="C358" s="6" t="s">
        <v>51</v>
      </c>
      <c r="D358" s="6" t="s">
        <v>51</v>
      </c>
      <c r="E358" s="6" t="s">
        <v>49</v>
      </c>
      <c r="F358" s="6">
        <v>165</v>
      </c>
      <c r="G358" s="14">
        <v>214220</v>
      </c>
      <c r="H358" s="15">
        <v>0.6327383619013538</v>
      </c>
      <c r="I358" s="6">
        <v>81</v>
      </c>
      <c r="J358" s="6" t="s">
        <v>43</v>
      </c>
    </row>
    <row r="359" spans="1:10" x14ac:dyDescent="0.15">
      <c r="A359" s="13">
        <v>46105</v>
      </c>
      <c r="B359" s="6" t="s">
        <v>29</v>
      </c>
      <c r="C359" s="6" t="s">
        <v>52</v>
      </c>
      <c r="D359" s="6" t="s">
        <v>52</v>
      </c>
      <c r="E359" s="6" t="s">
        <v>38</v>
      </c>
      <c r="F359" s="6">
        <v>193</v>
      </c>
      <c r="G359" s="14">
        <v>253567</v>
      </c>
      <c r="H359" s="15">
        <v>0.77627287969926495</v>
      </c>
      <c r="I359" s="6">
        <v>80</v>
      </c>
      <c r="J359" s="6" t="s">
        <v>39</v>
      </c>
    </row>
    <row r="360" spans="1:10" x14ac:dyDescent="0.15">
      <c r="A360" s="13">
        <v>46106</v>
      </c>
      <c r="B360" s="6" t="s">
        <v>33</v>
      </c>
      <c r="C360" s="6" t="s">
        <v>50</v>
      </c>
      <c r="D360" s="6" t="s">
        <v>50</v>
      </c>
      <c r="E360" s="6" t="s">
        <v>42</v>
      </c>
      <c r="F360" s="6">
        <v>156</v>
      </c>
      <c r="G360" s="14">
        <v>192487</v>
      </c>
      <c r="H360" s="15">
        <v>0.58024985689596675</v>
      </c>
      <c r="I360" s="6">
        <v>72</v>
      </c>
      <c r="J360" s="6" t="s">
        <v>43</v>
      </c>
    </row>
    <row r="361" spans="1:10" x14ac:dyDescent="0.15">
      <c r="A361" s="13">
        <v>46107</v>
      </c>
      <c r="B361" s="6" t="s">
        <v>34</v>
      </c>
      <c r="C361" s="6" t="s">
        <v>54</v>
      </c>
      <c r="D361" s="6" t="s">
        <v>54</v>
      </c>
      <c r="E361" s="6" t="s">
        <v>49</v>
      </c>
      <c r="F361" s="6">
        <v>101</v>
      </c>
      <c r="G361" s="14">
        <v>141782</v>
      </c>
      <c r="H361" s="15">
        <v>0.44898849316302408</v>
      </c>
      <c r="I361" s="6">
        <v>69</v>
      </c>
      <c r="J361" s="6" t="s">
        <v>32</v>
      </c>
    </row>
    <row r="362" spans="1:10" x14ac:dyDescent="0.15">
      <c r="A362" s="13">
        <v>46108</v>
      </c>
      <c r="B362" s="6" t="s">
        <v>36</v>
      </c>
      <c r="C362" s="6" t="s">
        <v>53</v>
      </c>
      <c r="D362" s="6" t="s">
        <v>53</v>
      </c>
      <c r="E362" s="6" t="s">
        <v>49</v>
      </c>
      <c r="F362" s="6">
        <v>156</v>
      </c>
      <c r="G362" s="14">
        <v>184763</v>
      </c>
      <c r="H362" s="15">
        <v>0.5646458232903433</v>
      </c>
      <c r="I362" s="6">
        <v>60</v>
      </c>
      <c r="J362" s="6" t="s">
        <v>32</v>
      </c>
    </row>
    <row r="363" spans="1:10" x14ac:dyDescent="0.15">
      <c r="A363" s="13">
        <v>46109</v>
      </c>
      <c r="B363" s="6" t="s">
        <v>40</v>
      </c>
      <c r="C363" s="6" t="s">
        <v>53</v>
      </c>
      <c r="D363" s="6" t="s">
        <v>53</v>
      </c>
      <c r="E363" s="6" t="s">
        <v>31</v>
      </c>
      <c r="F363" s="6">
        <v>162</v>
      </c>
      <c r="G363" s="14">
        <v>173820</v>
      </c>
      <c r="H363" s="15">
        <v>0.65722539051111739</v>
      </c>
      <c r="I363" s="6">
        <v>75</v>
      </c>
      <c r="J363" s="6" t="s">
        <v>32</v>
      </c>
    </row>
    <row r="364" spans="1:10" x14ac:dyDescent="0.15">
      <c r="A364" s="13">
        <v>46110</v>
      </c>
      <c r="B364" s="6" t="s">
        <v>41</v>
      </c>
      <c r="C364" s="6" t="s">
        <v>30</v>
      </c>
      <c r="D364" s="6" t="s">
        <v>30</v>
      </c>
      <c r="E364" s="6" t="s">
        <v>31</v>
      </c>
      <c r="F364" s="6">
        <v>221</v>
      </c>
      <c r="G364" s="14">
        <v>268478</v>
      </c>
      <c r="H364" s="15">
        <v>0.84804614672540402</v>
      </c>
      <c r="I364" s="6">
        <v>74</v>
      </c>
      <c r="J364" s="6" t="s">
        <v>32</v>
      </c>
    </row>
    <row r="365" spans="1:10" x14ac:dyDescent="0.15">
      <c r="A365" s="13">
        <v>46111</v>
      </c>
      <c r="B365" s="6" t="s">
        <v>44</v>
      </c>
      <c r="C365" s="6" t="s">
        <v>37</v>
      </c>
      <c r="D365" s="6" t="s">
        <v>37</v>
      </c>
      <c r="E365" s="6" t="s">
        <v>49</v>
      </c>
      <c r="F365" s="6">
        <v>111</v>
      </c>
      <c r="G365" s="14">
        <v>137230</v>
      </c>
      <c r="H365" s="15">
        <v>0.39062514001454002</v>
      </c>
      <c r="I365" s="6">
        <v>63</v>
      </c>
      <c r="J365" s="6" t="s">
        <v>39</v>
      </c>
    </row>
    <row r="366" spans="1:10" x14ac:dyDescent="0.15">
      <c r="A366" s="13">
        <v>46112</v>
      </c>
      <c r="B366" s="6" t="s">
        <v>29</v>
      </c>
      <c r="C366" s="6" t="s">
        <v>48</v>
      </c>
      <c r="D366" s="6" t="s">
        <v>48</v>
      </c>
      <c r="E366" s="6" t="s">
        <v>38</v>
      </c>
      <c r="F366" s="6">
        <v>129</v>
      </c>
      <c r="G366" s="14">
        <v>145515</v>
      </c>
      <c r="H366" s="15">
        <v>0.4784763727956769</v>
      </c>
      <c r="I366" s="6">
        <v>85</v>
      </c>
      <c r="J366" s="6" t="s">
        <v>39</v>
      </c>
    </row>
    <row r="367" spans="1:10" x14ac:dyDescent="0.15">
      <c r="A367" s="13">
        <v>46113</v>
      </c>
      <c r="B367" s="6" t="s">
        <v>33</v>
      </c>
      <c r="C367" s="6" t="s">
        <v>37</v>
      </c>
      <c r="D367" s="6" t="s">
        <v>37</v>
      </c>
      <c r="E367" s="6" t="s">
        <v>49</v>
      </c>
      <c r="F367" s="6">
        <v>127</v>
      </c>
      <c r="G367" s="14">
        <v>153690</v>
      </c>
      <c r="H367" s="15">
        <v>0.50621640440108107</v>
      </c>
      <c r="I367" s="6">
        <v>66</v>
      </c>
      <c r="J367" s="6" t="s">
        <v>32</v>
      </c>
    </row>
    <row r="368" spans="1:10" x14ac:dyDescent="0.15">
      <c r="A368" s="13">
        <v>46114</v>
      </c>
      <c r="B368" s="6" t="s">
        <v>34</v>
      </c>
      <c r="C368" s="6" t="s">
        <v>52</v>
      </c>
      <c r="D368" s="6" t="s">
        <v>52</v>
      </c>
      <c r="E368" s="6" t="s">
        <v>38</v>
      </c>
      <c r="F368" s="6">
        <v>175</v>
      </c>
      <c r="G368" s="14">
        <v>220246</v>
      </c>
      <c r="H368" s="15">
        <v>0.69700447409084199</v>
      </c>
      <c r="I368" s="6">
        <v>83</v>
      </c>
      <c r="J368" s="6" t="s">
        <v>32</v>
      </c>
    </row>
    <row r="369" spans="1:10" x14ac:dyDescent="0.15">
      <c r="A369" s="13">
        <v>46115</v>
      </c>
      <c r="B369" s="6" t="s">
        <v>36</v>
      </c>
      <c r="C369" s="6" t="s">
        <v>54</v>
      </c>
      <c r="D369" s="6" t="s">
        <v>54</v>
      </c>
      <c r="E369" s="6" t="s">
        <v>38</v>
      </c>
      <c r="F369" s="6">
        <v>133</v>
      </c>
      <c r="G369" s="14">
        <v>161648</v>
      </c>
      <c r="H369" s="15">
        <v>0.54075634245859294</v>
      </c>
      <c r="I369" s="6">
        <v>80</v>
      </c>
      <c r="J369" s="6" t="s">
        <v>32</v>
      </c>
    </row>
    <row r="370" spans="1:10" x14ac:dyDescent="0.15">
      <c r="A370" s="13">
        <v>46116</v>
      </c>
      <c r="B370" s="6" t="s">
        <v>40</v>
      </c>
      <c r="C370" s="6" t="s">
        <v>52</v>
      </c>
      <c r="D370" s="6" t="s">
        <v>52</v>
      </c>
      <c r="E370" s="6" t="s">
        <v>42</v>
      </c>
      <c r="F370" s="6">
        <v>217</v>
      </c>
      <c r="G370" s="14">
        <v>273995</v>
      </c>
      <c r="H370" s="15">
        <v>0.80871086145297977</v>
      </c>
      <c r="I370" s="6">
        <v>85</v>
      </c>
      <c r="J370" s="6" t="s">
        <v>43</v>
      </c>
    </row>
    <row r="371" spans="1:10" x14ac:dyDescent="0.15">
      <c r="A371" s="13">
        <v>46117</v>
      </c>
      <c r="B371" s="6" t="s">
        <v>41</v>
      </c>
      <c r="C371" s="6" t="s">
        <v>46</v>
      </c>
      <c r="D371" s="6" t="s">
        <v>46</v>
      </c>
      <c r="E371" s="6" t="s">
        <v>49</v>
      </c>
      <c r="F371" s="6">
        <v>245</v>
      </c>
      <c r="G371" s="14">
        <v>291913</v>
      </c>
      <c r="H371" s="15">
        <v>0.90077554042371621</v>
      </c>
      <c r="I371" s="6">
        <v>68</v>
      </c>
      <c r="J371" s="6" t="s">
        <v>32</v>
      </c>
    </row>
    <row r="372" spans="1:10" x14ac:dyDescent="0.15">
      <c r="A372" s="13">
        <v>46118</v>
      </c>
      <c r="B372" s="6" t="s">
        <v>44</v>
      </c>
      <c r="C372" s="6" t="s">
        <v>52</v>
      </c>
      <c r="D372" s="6" t="s">
        <v>52</v>
      </c>
      <c r="E372" s="6" t="s">
        <v>38</v>
      </c>
      <c r="F372" s="6">
        <v>194</v>
      </c>
      <c r="G372" s="14">
        <v>243519</v>
      </c>
      <c r="H372" s="15">
        <v>0.75095121615624127</v>
      </c>
      <c r="I372" s="6">
        <v>72</v>
      </c>
      <c r="J372" s="6" t="s">
        <v>32</v>
      </c>
    </row>
    <row r="373" spans="1:10" x14ac:dyDescent="0.15">
      <c r="A373" s="13">
        <v>46119</v>
      </c>
      <c r="B373" s="6" t="s">
        <v>29</v>
      </c>
      <c r="C373" s="6" t="s">
        <v>45</v>
      </c>
      <c r="D373" s="6" t="s">
        <v>45</v>
      </c>
      <c r="E373" s="6" t="s">
        <v>31</v>
      </c>
      <c r="F373" s="6">
        <v>183</v>
      </c>
      <c r="G373" s="14">
        <v>218667</v>
      </c>
      <c r="H373" s="15">
        <v>0.70666886021350028</v>
      </c>
      <c r="I373" s="6">
        <v>70</v>
      </c>
      <c r="J373" s="6" t="s">
        <v>32</v>
      </c>
    </row>
    <row r="374" spans="1:10" x14ac:dyDescent="0.15">
      <c r="A374" s="13">
        <v>46120</v>
      </c>
      <c r="B374" s="6" t="s">
        <v>33</v>
      </c>
      <c r="C374" s="6" t="s">
        <v>51</v>
      </c>
      <c r="D374" s="6" t="s">
        <v>51</v>
      </c>
      <c r="E374" s="6" t="s">
        <v>42</v>
      </c>
      <c r="F374" s="6">
        <v>219</v>
      </c>
      <c r="G374" s="14">
        <v>284268</v>
      </c>
      <c r="H374" s="15">
        <v>0.84877886961928262</v>
      </c>
      <c r="I374" s="6">
        <v>74</v>
      </c>
      <c r="J374" s="6" t="s">
        <v>39</v>
      </c>
    </row>
    <row r="375" spans="1:10" x14ac:dyDescent="0.15">
      <c r="A375" s="13">
        <v>46121</v>
      </c>
      <c r="B375" s="6" t="s">
        <v>34</v>
      </c>
      <c r="C375" s="6" t="s">
        <v>53</v>
      </c>
      <c r="D375" s="6" t="s">
        <v>53</v>
      </c>
      <c r="E375" s="6" t="s">
        <v>42</v>
      </c>
      <c r="F375" s="6">
        <v>142</v>
      </c>
      <c r="G375" s="14">
        <v>155309</v>
      </c>
      <c r="H375" s="15">
        <v>0.59831509006013162</v>
      </c>
      <c r="I375" s="6">
        <v>72</v>
      </c>
      <c r="J375" s="6" t="s">
        <v>32</v>
      </c>
    </row>
    <row r="376" spans="1:10" x14ac:dyDescent="0.15">
      <c r="A376" s="13">
        <v>46122</v>
      </c>
      <c r="B376" s="6" t="s">
        <v>36</v>
      </c>
      <c r="C376" s="6" t="s">
        <v>35</v>
      </c>
      <c r="D376" s="6" t="s">
        <v>35</v>
      </c>
      <c r="E376" s="6" t="s">
        <v>38</v>
      </c>
      <c r="F376" s="6">
        <v>187</v>
      </c>
      <c r="G376" s="14">
        <v>244761</v>
      </c>
      <c r="H376" s="15">
        <v>0.74795566819632175</v>
      </c>
      <c r="I376" s="6">
        <v>86</v>
      </c>
      <c r="J376" s="6" t="s">
        <v>32</v>
      </c>
    </row>
    <row r="377" spans="1:10" x14ac:dyDescent="0.15">
      <c r="A377" s="13">
        <v>46123</v>
      </c>
      <c r="B377" s="6" t="s">
        <v>40</v>
      </c>
      <c r="C377" s="6" t="s">
        <v>53</v>
      </c>
      <c r="D377" s="6" t="s">
        <v>53</v>
      </c>
      <c r="E377" s="6" t="s">
        <v>42</v>
      </c>
      <c r="F377" s="6">
        <v>125</v>
      </c>
      <c r="G377" s="14">
        <v>154222</v>
      </c>
      <c r="H377" s="15">
        <v>0.50706942475997541</v>
      </c>
      <c r="I377" s="6">
        <v>72</v>
      </c>
      <c r="J377" s="6" t="s">
        <v>32</v>
      </c>
    </row>
    <row r="378" spans="1:10" x14ac:dyDescent="0.15">
      <c r="A378" s="13">
        <v>46124</v>
      </c>
      <c r="B378" s="6" t="s">
        <v>41</v>
      </c>
      <c r="C378" s="6" t="s">
        <v>52</v>
      </c>
      <c r="D378" s="6" t="s">
        <v>52</v>
      </c>
      <c r="E378" s="6" t="s">
        <v>31</v>
      </c>
      <c r="F378" s="6">
        <v>183</v>
      </c>
      <c r="G378" s="14">
        <v>211102</v>
      </c>
      <c r="H378" s="15">
        <v>0.73319565384479535</v>
      </c>
      <c r="I378" s="6">
        <v>54</v>
      </c>
      <c r="J378" s="6" t="s">
        <v>43</v>
      </c>
    </row>
    <row r="379" spans="1:10" x14ac:dyDescent="0.15">
      <c r="A379" s="13">
        <v>46125</v>
      </c>
      <c r="B379" s="6" t="s">
        <v>44</v>
      </c>
      <c r="C379" s="6" t="s">
        <v>50</v>
      </c>
      <c r="D379" s="6" t="s">
        <v>50</v>
      </c>
      <c r="E379" s="6" t="s">
        <v>42</v>
      </c>
      <c r="F379" s="6">
        <v>157</v>
      </c>
      <c r="G379" s="14">
        <v>179435</v>
      </c>
      <c r="H379" s="15">
        <v>0.58700965735932009</v>
      </c>
      <c r="I379" s="6">
        <v>71</v>
      </c>
      <c r="J379" s="6" t="s">
        <v>43</v>
      </c>
    </row>
    <row r="380" spans="1:10" x14ac:dyDescent="0.15">
      <c r="A380" s="13">
        <v>46126</v>
      </c>
      <c r="B380" s="6" t="s">
        <v>29</v>
      </c>
      <c r="C380" s="6" t="s">
        <v>30</v>
      </c>
      <c r="D380" s="6" t="s">
        <v>30</v>
      </c>
      <c r="E380" s="6" t="s">
        <v>42</v>
      </c>
      <c r="F380" s="6">
        <v>220</v>
      </c>
      <c r="G380" s="14">
        <v>255708</v>
      </c>
      <c r="H380" s="15">
        <v>0.94702942410282009</v>
      </c>
      <c r="I380" s="6">
        <v>80</v>
      </c>
      <c r="J380" s="6" t="s">
        <v>43</v>
      </c>
    </row>
    <row r="381" spans="1:10" x14ac:dyDescent="0.15">
      <c r="A381" s="13">
        <v>46127</v>
      </c>
      <c r="B381" s="6" t="s">
        <v>33</v>
      </c>
      <c r="C381" s="6" t="s">
        <v>51</v>
      </c>
      <c r="D381" s="6" t="s">
        <v>51</v>
      </c>
      <c r="E381" s="6" t="s">
        <v>31</v>
      </c>
      <c r="F381" s="6">
        <v>211</v>
      </c>
      <c r="G381" s="14">
        <v>271968</v>
      </c>
      <c r="H381" s="15">
        <v>0.80485993950400958</v>
      </c>
      <c r="I381" s="6">
        <v>92</v>
      </c>
      <c r="J381" s="6" t="s">
        <v>32</v>
      </c>
    </row>
    <row r="382" spans="1:10" x14ac:dyDescent="0.15">
      <c r="A382" s="13">
        <v>46128</v>
      </c>
      <c r="B382" s="6" t="s">
        <v>34</v>
      </c>
      <c r="C382" s="6" t="s">
        <v>50</v>
      </c>
      <c r="D382" s="6" t="s">
        <v>50</v>
      </c>
      <c r="E382" s="6" t="s">
        <v>38</v>
      </c>
      <c r="F382" s="6">
        <v>190</v>
      </c>
      <c r="G382" s="14">
        <v>211420</v>
      </c>
      <c r="H382" s="15">
        <v>0.74262877518348014</v>
      </c>
      <c r="I382" s="6">
        <v>73</v>
      </c>
      <c r="J382" s="6" t="s">
        <v>43</v>
      </c>
    </row>
    <row r="383" spans="1:10" x14ac:dyDescent="0.15">
      <c r="A383" s="13">
        <v>46129</v>
      </c>
      <c r="B383" s="6" t="s">
        <v>36</v>
      </c>
      <c r="C383" s="6" t="s">
        <v>46</v>
      </c>
      <c r="D383" s="6" t="s">
        <v>46</v>
      </c>
      <c r="E383" s="6" t="s">
        <v>38</v>
      </c>
      <c r="F383" s="6">
        <v>190</v>
      </c>
      <c r="G383" s="14">
        <v>221102</v>
      </c>
      <c r="H383" s="15">
        <v>0.71311551820083086</v>
      </c>
      <c r="I383" s="6">
        <v>70</v>
      </c>
      <c r="J383" s="6" t="s">
        <v>32</v>
      </c>
    </row>
    <row r="384" spans="1:10" x14ac:dyDescent="0.15">
      <c r="A384" s="13">
        <v>46130</v>
      </c>
      <c r="B384" s="6" t="s">
        <v>40</v>
      </c>
      <c r="C384" s="6" t="s">
        <v>51</v>
      </c>
      <c r="D384" s="6" t="s">
        <v>51</v>
      </c>
      <c r="E384" s="6" t="s">
        <v>38</v>
      </c>
      <c r="F384" s="6">
        <v>196</v>
      </c>
      <c r="G384" s="14">
        <v>243353</v>
      </c>
      <c r="H384" s="15">
        <v>0.75652629321572784</v>
      </c>
      <c r="I384" s="6">
        <v>83</v>
      </c>
      <c r="J384" s="6" t="s">
        <v>39</v>
      </c>
    </row>
    <row r="385" spans="1:10" x14ac:dyDescent="0.15">
      <c r="A385" s="13">
        <v>46131</v>
      </c>
      <c r="B385" s="6" t="s">
        <v>41</v>
      </c>
      <c r="C385" s="6" t="s">
        <v>51</v>
      </c>
      <c r="D385" s="6" t="s">
        <v>51</v>
      </c>
      <c r="E385" s="6" t="s">
        <v>49</v>
      </c>
      <c r="F385" s="6">
        <v>210</v>
      </c>
      <c r="G385" s="14">
        <v>250127</v>
      </c>
      <c r="H385" s="15">
        <v>0.83543672211370479</v>
      </c>
      <c r="I385" s="6">
        <v>90</v>
      </c>
      <c r="J385" s="6" t="s">
        <v>43</v>
      </c>
    </row>
    <row r="386" spans="1:10" x14ac:dyDescent="0.15">
      <c r="A386" s="13">
        <v>46132</v>
      </c>
      <c r="B386" s="6" t="s">
        <v>44</v>
      </c>
      <c r="C386" s="6" t="s">
        <v>51</v>
      </c>
      <c r="D386" s="6" t="s">
        <v>51</v>
      </c>
      <c r="E386" s="6" t="s">
        <v>38</v>
      </c>
      <c r="F386" s="6">
        <v>154</v>
      </c>
      <c r="G386" s="14">
        <v>177091</v>
      </c>
      <c r="H386" s="15">
        <v>0.60264089197694637</v>
      </c>
      <c r="I386" s="6">
        <v>62</v>
      </c>
      <c r="J386" s="6" t="s">
        <v>43</v>
      </c>
    </row>
    <row r="387" spans="1:10" x14ac:dyDescent="0.15">
      <c r="A387" s="13">
        <v>46133</v>
      </c>
      <c r="B387" s="6" t="s">
        <v>29</v>
      </c>
      <c r="C387" s="6" t="s">
        <v>48</v>
      </c>
      <c r="D387" s="6" t="s">
        <v>48</v>
      </c>
      <c r="E387" s="6" t="s">
        <v>31</v>
      </c>
      <c r="F387" s="6">
        <v>119</v>
      </c>
      <c r="G387" s="14">
        <v>133636</v>
      </c>
      <c r="H387" s="15">
        <v>0.41561481880081169</v>
      </c>
      <c r="I387" s="6">
        <v>89</v>
      </c>
      <c r="J387" s="6" t="s">
        <v>39</v>
      </c>
    </row>
    <row r="388" spans="1:10" x14ac:dyDescent="0.15">
      <c r="A388" s="13">
        <v>46134</v>
      </c>
      <c r="B388" s="6" t="s">
        <v>33</v>
      </c>
      <c r="C388" s="6" t="s">
        <v>37</v>
      </c>
      <c r="D388" s="6" t="s">
        <v>37</v>
      </c>
      <c r="E388" s="6" t="s">
        <v>42</v>
      </c>
      <c r="F388" s="6">
        <v>160</v>
      </c>
      <c r="G388" s="14">
        <v>218476</v>
      </c>
      <c r="H388" s="15">
        <v>0.58744335085162158</v>
      </c>
      <c r="I388" s="6">
        <v>50</v>
      </c>
      <c r="J388" s="6" t="s">
        <v>43</v>
      </c>
    </row>
    <row r="389" spans="1:10" x14ac:dyDescent="0.15">
      <c r="A389" s="13">
        <v>46135</v>
      </c>
      <c r="B389" s="6" t="s">
        <v>34</v>
      </c>
      <c r="C389" s="6" t="s">
        <v>48</v>
      </c>
      <c r="D389" s="6" t="s">
        <v>48</v>
      </c>
      <c r="E389" s="6" t="s">
        <v>49</v>
      </c>
      <c r="F389" s="6">
        <v>123</v>
      </c>
      <c r="G389" s="14">
        <v>161082</v>
      </c>
      <c r="H389" s="15">
        <v>0.51246564042780662</v>
      </c>
      <c r="I389" s="6">
        <v>79</v>
      </c>
      <c r="J389" s="6" t="s">
        <v>39</v>
      </c>
    </row>
    <row r="390" spans="1:10" x14ac:dyDescent="0.15">
      <c r="A390" s="13">
        <v>46136</v>
      </c>
      <c r="B390" s="6" t="s">
        <v>36</v>
      </c>
      <c r="C390" s="6" t="s">
        <v>52</v>
      </c>
      <c r="D390" s="6" t="s">
        <v>52</v>
      </c>
      <c r="E390" s="6" t="s">
        <v>42</v>
      </c>
      <c r="F390" s="6">
        <v>156</v>
      </c>
      <c r="G390" s="14">
        <v>177219</v>
      </c>
      <c r="H390" s="15">
        <v>0.62421660483843799</v>
      </c>
      <c r="I390" s="6">
        <v>76</v>
      </c>
      <c r="J390" s="6" t="s">
        <v>32</v>
      </c>
    </row>
    <row r="391" spans="1:10" x14ac:dyDescent="0.15">
      <c r="A391" s="13">
        <v>46137</v>
      </c>
      <c r="B391" s="6" t="s">
        <v>40</v>
      </c>
      <c r="C391" s="6" t="s">
        <v>50</v>
      </c>
      <c r="D391" s="6" t="s">
        <v>50</v>
      </c>
      <c r="E391" s="6" t="s">
        <v>38</v>
      </c>
      <c r="F391" s="6">
        <v>149</v>
      </c>
      <c r="G391" s="14">
        <v>168466</v>
      </c>
      <c r="H391" s="15">
        <v>0.5941667982003882</v>
      </c>
      <c r="I391" s="6">
        <v>67</v>
      </c>
      <c r="J391" s="6" t="s">
        <v>32</v>
      </c>
    </row>
    <row r="392" spans="1:10" x14ac:dyDescent="0.15">
      <c r="A392" s="13">
        <v>46138</v>
      </c>
      <c r="B392" s="6" t="s">
        <v>41</v>
      </c>
      <c r="C392" s="6" t="s">
        <v>48</v>
      </c>
      <c r="D392" s="6" t="s">
        <v>48</v>
      </c>
      <c r="E392" s="6" t="s">
        <v>49</v>
      </c>
      <c r="F392" s="6">
        <v>156</v>
      </c>
      <c r="G392" s="14">
        <v>183108</v>
      </c>
      <c r="H392" s="15">
        <v>0.58863603441709933</v>
      </c>
      <c r="I392" s="6">
        <v>63</v>
      </c>
      <c r="J392" s="6" t="s">
        <v>32</v>
      </c>
    </row>
    <row r="393" spans="1:10" x14ac:dyDescent="0.15">
      <c r="A393" s="13">
        <v>46139</v>
      </c>
      <c r="B393" s="6" t="s">
        <v>44</v>
      </c>
      <c r="C393" s="6" t="s">
        <v>46</v>
      </c>
      <c r="D393" s="6" t="s">
        <v>46</v>
      </c>
      <c r="E393" s="6" t="s">
        <v>38</v>
      </c>
      <c r="F393" s="6">
        <v>171</v>
      </c>
      <c r="G393" s="14">
        <v>221422</v>
      </c>
      <c r="H393" s="15">
        <v>0.72905424497508853</v>
      </c>
      <c r="I393" s="6">
        <v>68</v>
      </c>
      <c r="J393" s="6" t="s">
        <v>39</v>
      </c>
    </row>
    <row r="394" spans="1:10" x14ac:dyDescent="0.15">
      <c r="A394" s="13">
        <v>46140</v>
      </c>
      <c r="B394" s="6" t="s">
        <v>29</v>
      </c>
      <c r="C394" s="6" t="s">
        <v>54</v>
      </c>
      <c r="D394" s="6" t="s">
        <v>54</v>
      </c>
      <c r="E394" s="6" t="s">
        <v>31</v>
      </c>
      <c r="F394" s="6">
        <v>149</v>
      </c>
      <c r="G394" s="14">
        <v>182489</v>
      </c>
      <c r="H394" s="15">
        <v>0.60643218282336442</v>
      </c>
      <c r="I394" s="6">
        <v>61</v>
      </c>
      <c r="J394" s="6" t="s">
        <v>32</v>
      </c>
    </row>
    <row r="395" spans="1:10" x14ac:dyDescent="0.15">
      <c r="A395" s="13">
        <v>46141</v>
      </c>
      <c r="B395" s="6" t="s">
        <v>33</v>
      </c>
      <c r="C395" s="6" t="s">
        <v>45</v>
      </c>
      <c r="D395" s="6" t="s">
        <v>45</v>
      </c>
      <c r="E395" s="6" t="s">
        <v>38</v>
      </c>
      <c r="F395" s="6">
        <v>195</v>
      </c>
      <c r="G395" s="14">
        <v>234919</v>
      </c>
      <c r="H395" s="15">
        <v>0.77701308033265981</v>
      </c>
      <c r="I395" s="6">
        <v>72</v>
      </c>
      <c r="J395" s="6" t="s">
        <v>32</v>
      </c>
    </row>
    <row r="396" spans="1:10" x14ac:dyDescent="0.15">
      <c r="A396" s="13">
        <v>46142</v>
      </c>
      <c r="B396" s="6" t="s">
        <v>34</v>
      </c>
      <c r="C396" s="6" t="s">
        <v>52</v>
      </c>
      <c r="D396" s="6" t="s">
        <v>52</v>
      </c>
      <c r="E396" s="6" t="s">
        <v>31</v>
      </c>
      <c r="F396" s="6">
        <v>196</v>
      </c>
      <c r="G396" s="14">
        <v>238438</v>
      </c>
      <c r="H396" s="15">
        <v>0.82822684812153213</v>
      </c>
      <c r="I396" s="6">
        <v>86</v>
      </c>
      <c r="J396" s="6" t="s">
        <v>32</v>
      </c>
    </row>
    <row r="397" spans="1:10" x14ac:dyDescent="0.15">
      <c r="A397" s="13">
        <v>46143</v>
      </c>
      <c r="B397" s="6" t="s">
        <v>36</v>
      </c>
      <c r="C397" s="6" t="s">
        <v>45</v>
      </c>
      <c r="D397" s="6" t="s">
        <v>45</v>
      </c>
      <c r="E397" s="6" t="s">
        <v>38</v>
      </c>
      <c r="F397" s="6">
        <v>169</v>
      </c>
      <c r="G397" s="14">
        <v>213488</v>
      </c>
      <c r="H397" s="15">
        <v>0.62082115137372662</v>
      </c>
      <c r="I397" s="6">
        <v>66</v>
      </c>
      <c r="J397" s="6" t="s">
        <v>32</v>
      </c>
    </row>
    <row r="398" spans="1:10" x14ac:dyDescent="0.15">
      <c r="A398" s="13">
        <v>46144</v>
      </c>
      <c r="B398" s="6" t="s">
        <v>40</v>
      </c>
      <c r="C398" s="6" t="s">
        <v>35</v>
      </c>
      <c r="D398" s="6" t="s">
        <v>35</v>
      </c>
      <c r="E398" s="6" t="s">
        <v>38</v>
      </c>
      <c r="F398" s="6">
        <v>220</v>
      </c>
      <c r="G398" s="14">
        <v>270827</v>
      </c>
      <c r="H398" s="15">
        <v>0.77094015331278976</v>
      </c>
      <c r="I398" s="6">
        <v>71</v>
      </c>
      <c r="J398" s="6" t="s">
        <v>43</v>
      </c>
    </row>
    <row r="399" spans="1:10" x14ac:dyDescent="0.15">
      <c r="A399" s="13">
        <v>46145</v>
      </c>
      <c r="B399" s="6" t="s">
        <v>41</v>
      </c>
      <c r="C399" s="6" t="s">
        <v>37</v>
      </c>
      <c r="D399" s="6" t="s">
        <v>37</v>
      </c>
      <c r="E399" s="6" t="s">
        <v>38</v>
      </c>
      <c r="F399" s="6">
        <v>149</v>
      </c>
      <c r="G399" s="14">
        <v>181127</v>
      </c>
      <c r="H399" s="15">
        <v>0.51278389518599987</v>
      </c>
      <c r="I399" s="6">
        <v>61</v>
      </c>
      <c r="J399" s="6" t="s">
        <v>32</v>
      </c>
    </row>
    <row r="400" spans="1:10" x14ac:dyDescent="0.15">
      <c r="A400" s="13">
        <v>46146</v>
      </c>
      <c r="B400" s="6" t="s">
        <v>44</v>
      </c>
      <c r="C400" s="6" t="s">
        <v>45</v>
      </c>
      <c r="D400" s="6" t="s">
        <v>45</v>
      </c>
      <c r="E400" s="6" t="s">
        <v>49</v>
      </c>
      <c r="F400" s="6">
        <v>179</v>
      </c>
      <c r="G400" s="14">
        <v>222784</v>
      </c>
      <c r="H400" s="15">
        <v>0.66357630779208743</v>
      </c>
      <c r="I400" s="6">
        <v>62</v>
      </c>
      <c r="J400" s="6" t="s">
        <v>32</v>
      </c>
    </row>
    <row r="401" spans="1:10" x14ac:dyDescent="0.15">
      <c r="A401" s="13">
        <v>46147</v>
      </c>
      <c r="B401" s="6" t="s">
        <v>29</v>
      </c>
      <c r="C401" s="6" t="s">
        <v>52</v>
      </c>
      <c r="D401" s="6" t="s">
        <v>52</v>
      </c>
      <c r="E401" s="6" t="s">
        <v>31</v>
      </c>
      <c r="F401" s="6">
        <v>194</v>
      </c>
      <c r="G401" s="14">
        <v>249320</v>
      </c>
      <c r="H401" s="15">
        <v>0.80485286416926327</v>
      </c>
      <c r="I401" s="6">
        <v>85</v>
      </c>
      <c r="J401" s="6" t="s">
        <v>43</v>
      </c>
    </row>
    <row r="402" spans="1:10" x14ac:dyDescent="0.15">
      <c r="A402" s="13">
        <v>46148</v>
      </c>
      <c r="B402" s="6" t="s">
        <v>33</v>
      </c>
      <c r="C402" s="6" t="s">
        <v>53</v>
      </c>
      <c r="D402" s="6" t="s">
        <v>53</v>
      </c>
      <c r="E402" s="6" t="s">
        <v>38</v>
      </c>
      <c r="F402" s="6">
        <v>143</v>
      </c>
      <c r="G402" s="14">
        <v>161532</v>
      </c>
      <c r="H402" s="15">
        <v>0.52822340045399219</v>
      </c>
      <c r="I402" s="6">
        <v>63</v>
      </c>
      <c r="J402" s="6" t="s">
        <v>43</v>
      </c>
    </row>
    <row r="403" spans="1:10" x14ac:dyDescent="0.15">
      <c r="A403" s="13">
        <v>46149</v>
      </c>
      <c r="B403" s="6" t="s">
        <v>34</v>
      </c>
      <c r="C403" s="6" t="s">
        <v>35</v>
      </c>
      <c r="D403" s="6" t="s">
        <v>35</v>
      </c>
      <c r="E403" s="6" t="s">
        <v>49</v>
      </c>
      <c r="F403" s="6">
        <v>173</v>
      </c>
      <c r="G403" s="14">
        <v>217654</v>
      </c>
      <c r="H403" s="15">
        <v>0.64091811561908207</v>
      </c>
      <c r="I403" s="6">
        <v>79</v>
      </c>
      <c r="J403" s="6" t="s">
        <v>43</v>
      </c>
    </row>
    <row r="404" spans="1:10" x14ac:dyDescent="0.15">
      <c r="A404" s="13">
        <v>46150</v>
      </c>
      <c r="B404" s="6" t="s">
        <v>36</v>
      </c>
      <c r="C404" s="6" t="s">
        <v>35</v>
      </c>
      <c r="D404" s="6" t="s">
        <v>35</v>
      </c>
      <c r="E404" s="6" t="s">
        <v>42</v>
      </c>
      <c r="F404" s="6">
        <v>186</v>
      </c>
      <c r="G404" s="14">
        <v>212834</v>
      </c>
      <c r="H404" s="15">
        <v>0.74296449966226008</v>
      </c>
      <c r="I404" s="6">
        <v>81</v>
      </c>
      <c r="J404" s="6" t="s">
        <v>39</v>
      </c>
    </row>
    <row r="405" spans="1:10" x14ac:dyDescent="0.15">
      <c r="A405" s="13">
        <v>46151</v>
      </c>
      <c r="B405" s="6" t="s">
        <v>40</v>
      </c>
      <c r="C405" s="6" t="s">
        <v>30</v>
      </c>
      <c r="D405" s="6" t="s">
        <v>30</v>
      </c>
      <c r="E405" s="6" t="s">
        <v>42</v>
      </c>
      <c r="F405" s="6">
        <v>225</v>
      </c>
      <c r="G405" s="14">
        <v>255844</v>
      </c>
      <c r="H405" s="15">
        <v>0.82758266708336214</v>
      </c>
      <c r="I405" s="6">
        <v>76</v>
      </c>
      <c r="J405" s="6" t="s">
        <v>39</v>
      </c>
    </row>
    <row r="406" spans="1:10" x14ac:dyDescent="0.15">
      <c r="A406" s="13">
        <v>46152</v>
      </c>
      <c r="B406" s="6" t="s">
        <v>41</v>
      </c>
      <c r="C406" s="6" t="s">
        <v>54</v>
      </c>
      <c r="D406" s="6" t="s">
        <v>54</v>
      </c>
      <c r="E406" s="6" t="s">
        <v>31</v>
      </c>
      <c r="F406" s="6">
        <v>136</v>
      </c>
      <c r="G406" s="14">
        <v>170584</v>
      </c>
      <c r="H406" s="15">
        <v>0.52873138877596704</v>
      </c>
      <c r="I406" s="6">
        <v>68</v>
      </c>
      <c r="J406" s="6" t="s">
        <v>32</v>
      </c>
    </row>
    <row r="407" spans="1:10" x14ac:dyDescent="0.15">
      <c r="A407" s="13">
        <v>46153</v>
      </c>
      <c r="B407" s="6" t="s">
        <v>44</v>
      </c>
      <c r="C407" s="6" t="s">
        <v>52</v>
      </c>
      <c r="D407" s="6" t="s">
        <v>52</v>
      </c>
      <c r="E407" s="6" t="s">
        <v>49</v>
      </c>
      <c r="F407" s="6">
        <v>196</v>
      </c>
      <c r="G407" s="14">
        <v>240756</v>
      </c>
      <c r="H407" s="15">
        <v>0.75927793626055939</v>
      </c>
      <c r="I407" s="6">
        <v>83</v>
      </c>
      <c r="J407" s="6" t="s">
        <v>32</v>
      </c>
    </row>
    <row r="408" spans="1:10" x14ac:dyDescent="0.15">
      <c r="A408" s="13">
        <v>46154</v>
      </c>
      <c r="B408" s="6" t="s">
        <v>29</v>
      </c>
      <c r="C408" s="6" t="s">
        <v>48</v>
      </c>
      <c r="D408" s="6" t="s">
        <v>48</v>
      </c>
      <c r="E408" s="6" t="s">
        <v>49</v>
      </c>
      <c r="F408" s="6">
        <v>140</v>
      </c>
      <c r="G408" s="14">
        <v>185105</v>
      </c>
      <c r="H408" s="15">
        <v>0.56662856948720497</v>
      </c>
      <c r="I408" s="6">
        <v>78</v>
      </c>
      <c r="J408" s="6" t="s">
        <v>43</v>
      </c>
    </row>
    <row r="409" spans="1:10" x14ac:dyDescent="0.15">
      <c r="A409" s="13">
        <v>46155</v>
      </c>
      <c r="B409" s="6" t="s">
        <v>33</v>
      </c>
      <c r="C409" s="6" t="s">
        <v>45</v>
      </c>
      <c r="D409" s="6" t="s">
        <v>45</v>
      </c>
      <c r="E409" s="6" t="s">
        <v>31</v>
      </c>
      <c r="F409" s="6">
        <v>176</v>
      </c>
      <c r="G409" s="14">
        <v>222528</v>
      </c>
      <c r="H409" s="15">
        <v>0.66396992421748502</v>
      </c>
      <c r="I409" s="6">
        <v>77</v>
      </c>
      <c r="J409" s="6" t="s">
        <v>39</v>
      </c>
    </row>
    <row r="410" spans="1:10" x14ac:dyDescent="0.15">
      <c r="A410" s="13">
        <v>46156</v>
      </c>
      <c r="B410" s="6" t="s">
        <v>34</v>
      </c>
      <c r="C410" s="6" t="s">
        <v>45</v>
      </c>
      <c r="D410" s="6" t="s">
        <v>45</v>
      </c>
      <c r="E410" s="6" t="s">
        <v>49</v>
      </c>
      <c r="F410" s="6">
        <v>181</v>
      </c>
      <c r="G410" s="14">
        <v>224300</v>
      </c>
      <c r="H410" s="15">
        <v>0.64594009606010128</v>
      </c>
      <c r="I410" s="6">
        <v>64</v>
      </c>
      <c r="J410" s="6" t="s">
        <v>32</v>
      </c>
    </row>
    <row r="411" spans="1:10" x14ac:dyDescent="0.15">
      <c r="A411" s="13">
        <v>46157</v>
      </c>
      <c r="B411" s="6" t="s">
        <v>36</v>
      </c>
      <c r="C411" s="6" t="s">
        <v>50</v>
      </c>
      <c r="D411" s="6" t="s">
        <v>50</v>
      </c>
      <c r="E411" s="6" t="s">
        <v>31</v>
      </c>
      <c r="F411" s="6">
        <v>160</v>
      </c>
      <c r="G411" s="14">
        <v>172115</v>
      </c>
      <c r="H411" s="15">
        <v>0.63511731768863633</v>
      </c>
      <c r="I411" s="6">
        <v>63</v>
      </c>
      <c r="J411" s="6" t="s">
        <v>39</v>
      </c>
    </row>
    <row r="412" spans="1:10" x14ac:dyDescent="0.15">
      <c r="A412" s="13">
        <v>46158</v>
      </c>
      <c r="B412" s="6" t="s">
        <v>40</v>
      </c>
      <c r="C412" s="6" t="s">
        <v>45</v>
      </c>
      <c r="D412" s="6" t="s">
        <v>45</v>
      </c>
      <c r="E412" s="6" t="s">
        <v>31</v>
      </c>
      <c r="F412" s="6">
        <v>213</v>
      </c>
      <c r="G412" s="14">
        <v>270620</v>
      </c>
      <c r="H412" s="15">
        <v>0.78027518148396258</v>
      </c>
      <c r="I412" s="6">
        <v>63</v>
      </c>
      <c r="J412" s="6" t="s">
        <v>39</v>
      </c>
    </row>
    <row r="413" spans="1:10" x14ac:dyDescent="0.15">
      <c r="A413" s="13">
        <v>46159</v>
      </c>
      <c r="B413" s="6" t="s">
        <v>41</v>
      </c>
      <c r="C413" s="6" t="s">
        <v>37</v>
      </c>
      <c r="D413" s="6" t="s">
        <v>37</v>
      </c>
      <c r="E413" s="6" t="s">
        <v>38</v>
      </c>
      <c r="F413" s="6">
        <v>144</v>
      </c>
      <c r="G413" s="14">
        <v>167807</v>
      </c>
      <c r="H413" s="15">
        <v>0.52649902447687624</v>
      </c>
      <c r="I413" s="6">
        <v>68</v>
      </c>
      <c r="J413" s="6" t="s">
        <v>43</v>
      </c>
    </row>
    <row r="414" spans="1:10" x14ac:dyDescent="0.15">
      <c r="A414" s="13">
        <v>46160</v>
      </c>
      <c r="B414" s="6" t="s">
        <v>44</v>
      </c>
      <c r="C414" s="6" t="s">
        <v>37</v>
      </c>
      <c r="D414" s="6" t="s">
        <v>37</v>
      </c>
      <c r="E414" s="6" t="s">
        <v>38</v>
      </c>
      <c r="F414" s="6">
        <v>122</v>
      </c>
      <c r="G414" s="14">
        <v>166593</v>
      </c>
      <c r="H414" s="15">
        <v>0.50267795446142949</v>
      </c>
      <c r="I414" s="6">
        <v>58</v>
      </c>
      <c r="J414" s="6" t="s">
        <v>32</v>
      </c>
    </row>
    <row r="415" spans="1:10" x14ac:dyDescent="0.15">
      <c r="A415" s="13">
        <v>46161</v>
      </c>
      <c r="B415" s="6" t="s">
        <v>29</v>
      </c>
      <c r="C415" s="6" t="s">
        <v>54</v>
      </c>
      <c r="D415" s="6" t="s">
        <v>54</v>
      </c>
      <c r="E415" s="6" t="s">
        <v>31</v>
      </c>
      <c r="F415" s="6">
        <v>132</v>
      </c>
      <c r="G415" s="14">
        <v>144003</v>
      </c>
      <c r="H415" s="15">
        <v>0.50135666510403287</v>
      </c>
      <c r="I415" s="6">
        <v>59</v>
      </c>
      <c r="J415" s="6" t="s">
        <v>32</v>
      </c>
    </row>
    <row r="416" spans="1:10" x14ac:dyDescent="0.15">
      <c r="A416" s="13">
        <v>46162</v>
      </c>
      <c r="B416" s="6" t="s">
        <v>33</v>
      </c>
      <c r="C416" s="6" t="s">
        <v>51</v>
      </c>
      <c r="D416" s="6" t="s">
        <v>51</v>
      </c>
      <c r="E416" s="6" t="s">
        <v>42</v>
      </c>
      <c r="F416" s="6">
        <v>199</v>
      </c>
      <c r="G416" s="14">
        <v>240409</v>
      </c>
      <c r="H416" s="15">
        <v>0.72339042086680083</v>
      </c>
      <c r="I416" s="6">
        <v>78</v>
      </c>
      <c r="J416" s="6" t="s">
        <v>43</v>
      </c>
    </row>
    <row r="417" spans="1:10" x14ac:dyDescent="0.15">
      <c r="A417" s="13">
        <v>46163</v>
      </c>
      <c r="B417" s="6" t="s">
        <v>34</v>
      </c>
      <c r="C417" s="6" t="s">
        <v>45</v>
      </c>
      <c r="D417" s="6" t="s">
        <v>45</v>
      </c>
      <c r="E417" s="6" t="s">
        <v>42</v>
      </c>
      <c r="F417" s="6">
        <v>180</v>
      </c>
      <c r="G417" s="14">
        <v>232828</v>
      </c>
      <c r="H417" s="15">
        <v>0.73728646770369666</v>
      </c>
      <c r="I417" s="6">
        <v>83</v>
      </c>
      <c r="J417" s="6" t="s">
        <v>32</v>
      </c>
    </row>
    <row r="418" spans="1:10" x14ac:dyDescent="0.15">
      <c r="A418" s="13">
        <v>46164</v>
      </c>
      <c r="B418" s="6" t="s">
        <v>36</v>
      </c>
      <c r="C418" s="6" t="s">
        <v>52</v>
      </c>
      <c r="D418" s="6" t="s">
        <v>52</v>
      </c>
      <c r="E418" s="6" t="s">
        <v>38</v>
      </c>
      <c r="F418" s="6">
        <v>190</v>
      </c>
      <c r="G418" s="14">
        <v>227832</v>
      </c>
      <c r="H418" s="15">
        <v>0.6553974140707266</v>
      </c>
      <c r="I418" s="6">
        <v>82</v>
      </c>
      <c r="J418" s="6" t="s">
        <v>32</v>
      </c>
    </row>
    <row r="419" spans="1:10" x14ac:dyDescent="0.15">
      <c r="A419" s="13">
        <v>46165</v>
      </c>
      <c r="B419" s="6" t="s">
        <v>40</v>
      </c>
      <c r="C419" s="6" t="s">
        <v>53</v>
      </c>
      <c r="D419" s="6" t="s">
        <v>53</v>
      </c>
      <c r="E419" s="6" t="s">
        <v>31</v>
      </c>
      <c r="F419" s="6">
        <v>113</v>
      </c>
      <c r="G419" s="14">
        <v>131661</v>
      </c>
      <c r="H419" s="15">
        <v>0.44082525903526482</v>
      </c>
      <c r="I419" s="6">
        <v>71</v>
      </c>
      <c r="J419" s="6" t="s">
        <v>43</v>
      </c>
    </row>
    <row r="420" spans="1:10" x14ac:dyDescent="0.15">
      <c r="A420" s="13">
        <v>46166</v>
      </c>
      <c r="B420" s="6" t="s">
        <v>41</v>
      </c>
      <c r="C420" s="6" t="s">
        <v>35</v>
      </c>
      <c r="D420" s="6" t="s">
        <v>35</v>
      </c>
      <c r="E420" s="6" t="s">
        <v>49</v>
      </c>
      <c r="F420" s="6">
        <v>216</v>
      </c>
      <c r="G420" s="14">
        <v>264497</v>
      </c>
      <c r="H420" s="15">
        <v>0.80027393245260925</v>
      </c>
      <c r="I420" s="6">
        <v>75</v>
      </c>
      <c r="J420" s="6" t="s">
        <v>43</v>
      </c>
    </row>
    <row r="421" spans="1:10" x14ac:dyDescent="0.15">
      <c r="A421" s="13">
        <v>46167</v>
      </c>
      <c r="B421" s="6" t="s">
        <v>44</v>
      </c>
      <c r="C421" s="6" t="s">
        <v>37</v>
      </c>
      <c r="D421" s="6" t="s">
        <v>37</v>
      </c>
      <c r="E421" s="6" t="s">
        <v>42</v>
      </c>
      <c r="F421" s="6">
        <v>139</v>
      </c>
      <c r="G421" s="14">
        <v>166067</v>
      </c>
      <c r="H421" s="15">
        <v>0.57157860947627315</v>
      </c>
      <c r="I421" s="6">
        <v>56</v>
      </c>
      <c r="J421" s="6" t="s">
        <v>32</v>
      </c>
    </row>
    <row r="422" spans="1:10" x14ac:dyDescent="0.15">
      <c r="A422" s="13">
        <v>46168</v>
      </c>
      <c r="B422" s="6" t="s">
        <v>29</v>
      </c>
      <c r="C422" s="6" t="s">
        <v>52</v>
      </c>
      <c r="D422" s="6" t="s">
        <v>52</v>
      </c>
      <c r="E422" s="6" t="s">
        <v>42</v>
      </c>
      <c r="F422" s="6">
        <v>179</v>
      </c>
      <c r="G422" s="14">
        <v>234188</v>
      </c>
      <c r="H422" s="15">
        <v>0.74891290342216899</v>
      </c>
      <c r="I422" s="6">
        <v>79</v>
      </c>
      <c r="J422" s="6" t="s">
        <v>32</v>
      </c>
    </row>
    <row r="423" spans="1:10" x14ac:dyDescent="0.15">
      <c r="A423" s="13">
        <v>46169</v>
      </c>
      <c r="B423" s="6" t="s">
        <v>33</v>
      </c>
      <c r="C423" s="6" t="s">
        <v>35</v>
      </c>
      <c r="D423" s="6" t="s">
        <v>35</v>
      </c>
      <c r="E423" s="6" t="s">
        <v>38</v>
      </c>
      <c r="F423" s="6">
        <v>179</v>
      </c>
      <c r="G423" s="14">
        <v>221031</v>
      </c>
      <c r="H423" s="15">
        <v>0.68751091308606715</v>
      </c>
      <c r="I423" s="6">
        <v>92</v>
      </c>
      <c r="J423" s="6" t="s">
        <v>43</v>
      </c>
    </row>
    <row r="424" spans="1:10" x14ac:dyDescent="0.15">
      <c r="A424" s="13">
        <v>46170</v>
      </c>
      <c r="B424" s="6" t="s">
        <v>34</v>
      </c>
      <c r="C424" s="6" t="s">
        <v>48</v>
      </c>
      <c r="D424" s="6" t="s">
        <v>48</v>
      </c>
      <c r="E424" s="6" t="s">
        <v>31</v>
      </c>
      <c r="F424" s="6">
        <v>155</v>
      </c>
      <c r="G424" s="14">
        <v>167039</v>
      </c>
      <c r="H424" s="15">
        <v>0.57240598634494</v>
      </c>
      <c r="I424" s="6">
        <v>71</v>
      </c>
      <c r="J424" s="6" t="s">
        <v>43</v>
      </c>
    </row>
    <row r="425" spans="1:10" x14ac:dyDescent="0.15">
      <c r="A425" s="13">
        <v>46171</v>
      </c>
      <c r="B425" s="6" t="s">
        <v>36</v>
      </c>
      <c r="C425" s="6" t="s">
        <v>46</v>
      </c>
      <c r="D425" s="6" t="s">
        <v>46</v>
      </c>
      <c r="E425" s="6" t="s">
        <v>49</v>
      </c>
      <c r="F425" s="6">
        <v>255</v>
      </c>
      <c r="G425" s="14">
        <v>313240</v>
      </c>
      <c r="H425" s="15">
        <v>0.98</v>
      </c>
      <c r="I425" s="6">
        <v>68</v>
      </c>
      <c r="J425" s="6" t="s">
        <v>43</v>
      </c>
    </row>
    <row r="426" spans="1:10" x14ac:dyDescent="0.15">
      <c r="A426" s="13">
        <v>46172</v>
      </c>
      <c r="B426" s="6" t="s">
        <v>40</v>
      </c>
      <c r="C426" s="6" t="s">
        <v>48</v>
      </c>
      <c r="D426" s="6" t="s">
        <v>48</v>
      </c>
      <c r="E426" s="6" t="s">
        <v>38</v>
      </c>
      <c r="F426" s="6">
        <v>187</v>
      </c>
      <c r="G426" s="14">
        <v>232772</v>
      </c>
      <c r="H426" s="15">
        <v>0.6750710573254094</v>
      </c>
      <c r="I426" s="6">
        <v>57</v>
      </c>
      <c r="J426" s="6" t="s">
        <v>43</v>
      </c>
    </row>
    <row r="427" spans="1:10" x14ac:dyDescent="0.15">
      <c r="A427" s="13">
        <v>46173</v>
      </c>
      <c r="B427" s="6" t="s">
        <v>41</v>
      </c>
      <c r="C427" s="6" t="s">
        <v>35</v>
      </c>
      <c r="D427" s="6" t="s">
        <v>35</v>
      </c>
      <c r="E427" s="6" t="s">
        <v>38</v>
      </c>
      <c r="F427" s="6">
        <v>212</v>
      </c>
      <c r="G427" s="14">
        <v>279408</v>
      </c>
      <c r="H427" s="15">
        <v>0.8665455300241991</v>
      </c>
      <c r="I427" s="6">
        <v>69</v>
      </c>
      <c r="J427" s="6" t="s">
        <v>39</v>
      </c>
    </row>
    <row r="428" spans="1:10" x14ac:dyDescent="0.15">
      <c r="A428" s="13">
        <v>46174</v>
      </c>
      <c r="B428" s="6" t="s">
        <v>44</v>
      </c>
      <c r="C428" s="6" t="s">
        <v>52</v>
      </c>
      <c r="D428" s="6" t="s">
        <v>52</v>
      </c>
      <c r="E428" s="6" t="s">
        <v>31</v>
      </c>
      <c r="F428" s="6">
        <v>175</v>
      </c>
      <c r="G428" s="14">
        <v>199767</v>
      </c>
      <c r="H428" s="15">
        <v>0.70019928759667094</v>
      </c>
      <c r="I428" s="6">
        <v>77</v>
      </c>
      <c r="J428" s="6" t="s">
        <v>39</v>
      </c>
    </row>
    <row r="429" spans="1:10" x14ac:dyDescent="0.15">
      <c r="A429" s="13">
        <v>46175</v>
      </c>
      <c r="B429" s="6" t="s">
        <v>29</v>
      </c>
      <c r="C429" s="6" t="s">
        <v>30</v>
      </c>
      <c r="D429" s="6" t="s">
        <v>30</v>
      </c>
      <c r="E429" s="6" t="s">
        <v>31</v>
      </c>
      <c r="F429" s="6">
        <v>134</v>
      </c>
      <c r="G429" s="14">
        <v>144102</v>
      </c>
      <c r="H429" s="15">
        <v>0.5283167810284356</v>
      </c>
      <c r="I429" s="6">
        <v>65</v>
      </c>
      <c r="J429" s="6" t="s">
        <v>32</v>
      </c>
    </row>
    <row r="430" spans="1:10" x14ac:dyDescent="0.15">
      <c r="A430" s="13">
        <v>46176</v>
      </c>
      <c r="B430" s="6" t="s">
        <v>33</v>
      </c>
      <c r="C430" s="6" t="s">
        <v>47</v>
      </c>
      <c r="D430" s="6" t="s">
        <v>47</v>
      </c>
      <c r="E430" s="6" t="s">
        <v>49</v>
      </c>
      <c r="F430" s="6">
        <v>97</v>
      </c>
      <c r="G430" s="14">
        <v>114364</v>
      </c>
      <c r="H430" s="15">
        <v>0.41167517466196019</v>
      </c>
      <c r="I430" s="6">
        <v>54</v>
      </c>
      <c r="J430" s="6" t="s">
        <v>32</v>
      </c>
    </row>
    <row r="431" spans="1:10" x14ac:dyDescent="0.15">
      <c r="A431" s="13">
        <v>46177</v>
      </c>
      <c r="B431" s="6" t="s">
        <v>34</v>
      </c>
      <c r="C431" s="6" t="s">
        <v>48</v>
      </c>
      <c r="D431" s="6" t="s">
        <v>48</v>
      </c>
      <c r="E431" s="6" t="s">
        <v>38</v>
      </c>
      <c r="F431" s="6">
        <v>136</v>
      </c>
      <c r="G431" s="14">
        <v>165805</v>
      </c>
      <c r="H431" s="15">
        <v>0.5443617595108875</v>
      </c>
      <c r="I431" s="6">
        <v>57</v>
      </c>
      <c r="J431" s="6" t="s">
        <v>32</v>
      </c>
    </row>
    <row r="432" spans="1:10" x14ac:dyDescent="0.15">
      <c r="A432" s="13">
        <v>46178</v>
      </c>
      <c r="B432" s="6" t="s">
        <v>36</v>
      </c>
      <c r="C432" s="6" t="s">
        <v>46</v>
      </c>
      <c r="D432" s="6" t="s">
        <v>46</v>
      </c>
      <c r="E432" s="6" t="s">
        <v>38</v>
      </c>
      <c r="F432" s="6">
        <v>186</v>
      </c>
      <c r="G432" s="14">
        <v>235322</v>
      </c>
      <c r="H432" s="15">
        <v>0.74064995368442477</v>
      </c>
      <c r="I432" s="6">
        <v>65</v>
      </c>
      <c r="J432" s="6" t="s">
        <v>43</v>
      </c>
    </row>
    <row r="433" spans="1:10" x14ac:dyDescent="0.15">
      <c r="A433" s="13">
        <v>46179</v>
      </c>
      <c r="B433" s="6" t="s">
        <v>40</v>
      </c>
      <c r="C433" s="6" t="s">
        <v>47</v>
      </c>
      <c r="D433" s="6" t="s">
        <v>47</v>
      </c>
      <c r="E433" s="6" t="s">
        <v>42</v>
      </c>
      <c r="F433" s="6">
        <v>133</v>
      </c>
      <c r="G433" s="14">
        <v>159626</v>
      </c>
      <c r="H433" s="15">
        <v>0.55839217940227681</v>
      </c>
      <c r="I433" s="6">
        <v>71</v>
      </c>
      <c r="J433" s="6" t="s">
        <v>32</v>
      </c>
    </row>
    <row r="434" spans="1:10" x14ac:dyDescent="0.15">
      <c r="A434" s="13">
        <v>46180</v>
      </c>
      <c r="B434" s="6" t="s">
        <v>41</v>
      </c>
      <c r="C434" s="6" t="s">
        <v>45</v>
      </c>
      <c r="D434" s="6" t="s">
        <v>45</v>
      </c>
      <c r="E434" s="6" t="s">
        <v>42</v>
      </c>
      <c r="F434" s="6">
        <v>210</v>
      </c>
      <c r="G434" s="14">
        <v>247497</v>
      </c>
      <c r="H434" s="15">
        <v>0.80420121828350399</v>
      </c>
      <c r="I434" s="6">
        <v>74</v>
      </c>
      <c r="J434" s="6" t="s">
        <v>32</v>
      </c>
    </row>
    <row r="435" spans="1:10" x14ac:dyDescent="0.15">
      <c r="A435" s="13">
        <v>46181</v>
      </c>
      <c r="B435" s="6" t="s">
        <v>44</v>
      </c>
      <c r="C435" s="6" t="s">
        <v>50</v>
      </c>
      <c r="D435" s="6" t="s">
        <v>50</v>
      </c>
      <c r="E435" s="6" t="s">
        <v>42</v>
      </c>
      <c r="F435" s="6">
        <v>111</v>
      </c>
      <c r="G435" s="14">
        <v>140503</v>
      </c>
      <c r="H435" s="15">
        <v>0.45916143268167842</v>
      </c>
      <c r="I435" s="6">
        <v>63</v>
      </c>
      <c r="J435" s="6" t="s">
        <v>43</v>
      </c>
    </row>
    <row r="436" spans="1:10" x14ac:dyDescent="0.15">
      <c r="A436" s="13">
        <v>46182</v>
      </c>
      <c r="B436" s="6" t="s">
        <v>29</v>
      </c>
      <c r="C436" s="6" t="s">
        <v>46</v>
      </c>
      <c r="D436" s="6" t="s">
        <v>46</v>
      </c>
      <c r="E436" s="6" t="s">
        <v>38</v>
      </c>
      <c r="F436" s="6">
        <v>157</v>
      </c>
      <c r="G436" s="14">
        <v>192860</v>
      </c>
      <c r="H436" s="15">
        <v>0.6258816767076455</v>
      </c>
      <c r="I436" s="6">
        <v>82</v>
      </c>
      <c r="J436" s="6" t="s">
        <v>32</v>
      </c>
    </row>
    <row r="437" spans="1:10" x14ac:dyDescent="0.15">
      <c r="A437" s="13">
        <v>46183</v>
      </c>
      <c r="B437" s="6" t="s">
        <v>33</v>
      </c>
      <c r="C437" s="6" t="s">
        <v>51</v>
      </c>
      <c r="D437" s="6" t="s">
        <v>51</v>
      </c>
      <c r="E437" s="6" t="s">
        <v>31</v>
      </c>
      <c r="F437" s="6">
        <v>178</v>
      </c>
      <c r="G437" s="14">
        <v>213445</v>
      </c>
      <c r="H437" s="15">
        <v>0.68830426947436407</v>
      </c>
      <c r="I437" s="6">
        <v>68</v>
      </c>
      <c r="J437" s="6" t="s">
        <v>32</v>
      </c>
    </row>
    <row r="438" spans="1:10" x14ac:dyDescent="0.15">
      <c r="A438" s="13">
        <v>46184</v>
      </c>
      <c r="B438" s="6" t="s">
        <v>34</v>
      </c>
      <c r="C438" s="6" t="s">
        <v>48</v>
      </c>
      <c r="D438" s="6" t="s">
        <v>48</v>
      </c>
      <c r="E438" s="6" t="s">
        <v>38</v>
      </c>
      <c r="F438" s="6">
        <v>86</v>
      </c>
      <c r="G438" s="14">
        <v>118368</v>
      </c>
      <c r="H438" s="15">
        <v>0.32355660742725428</v>
      </c>
      <c r="I438" s="6">
        <v>71</v>
      </c>
      <c r="J438" s="6" t="s">
        <v>32</v>
      </c>
    </row>
    <row r="439" spans="1:10" x14ac:dyDescent="0.15">
      <c r="A439" s="13">
        <v>46185</v>
      </c>
      <c r="B439" s="6" t="s">
        <v>36</v>
      </c>
      <c r="C439" s="6" t="s">
        <v>30</v>
      </c>
      <c r="D439" s="6" t="s">
        <v>30</v>
      </c>
      <c r="E439" s="6" t="s">
        <v>42</v>
      </c>
      <c r="F439" s="6">
        <v>205</v>
      </c>
      <c r="G439" s="14">
        <v>237433</v>
      </c>
      <c r="H439" s="15">
        <v>0.78193240013239307</v>
      </c>
      <c r="I439" s="6">
        <v>71</v>
      </c>
      <c r="J439" s="6" t="s">
        <v>32</v>
      </c>
    </row>
    <row r="440" spans="1:10" x14ac:dyDescent="0.15">
      <c r="A440" s="13">
        <v>46186</v>
      </c>
      <c r="B440" s="6" t="s">
        <v>40</v>
      </c>
      <c r="C440" s="6" t="s">
        <v>51</v>
      </c>
      <c r="D440" s="6" t="s">
        <v>51</v>
      </c>
      <c r="E440" s="6" t="s">
        <v>49</v>
      </c>
      <c r="F440" s="6">
        <v>184</v>
      </c>
      <c r="G440" s="14">
        <v>217820</v>
      </c>
      <c r="H440" s="15">
        <v>0.73142767229167927</v>
      </c>
      <c r="I440" s="6">
        <v>83</v>
      </c>
      <c r="J440" s="6" t="s">
        <v>43</v>
      </c>
    </row>
    <row r="441" spans="1:10" x14ac:dyDescent="0.15">
      <c r="A441" s="13">
        <v>46187</v>
      </c>
      <c r="B441" s="6" t="s">
        <v>41</v>
      </c>
      <c r="C441" s="6" t="s">
        <v>46</v>
      </c>
      <c r="D441" s="6" t="s">
        <v>46</v>
      </c>
      <c r="E441" s="6" t="s">
        <v>42</v>
      </c>
      <c r="F441" s="6">
        <v>191</v>
      </c>
      <c r="G441" s="14">
        <v>242515</v>
      </c>
      <c r="H441" s="15">
        <v>0.72806976116654509</v>
      </c>
      <c r="I441" s="6">
        <v>61</v>
      </c>
      <c r="J441" s="6" t="s">
        <v>43</v>
      </c>
    </row>
    <row r="442" spans="1:10" x14ac:dyDescent="0.15">
      <c r="A442" s="13">
        <v>46188</v>
      </c>
      <c r="B442" s="6" t="s">
        <v>44</v>
      </c>
      <c r="C442" s="6" t="s">
        <v>37</v>
      </c>
      <c r="D442" s="6" t="s">
        <v>37</v>
      </c>
      <c r="E442" s="6" t="s">
        <v>42</v>
      </c>
      <c r="F442" s="6">
        <v>150</v>
      </c>
      <c r="G442" s="14">
        <v>178162</v>
      </c>
      <c r="H442" s="15">
        <v>0.5769383354368286</v>
      </c>
      <c r="I442" s="6">
        <v>63</v>
      </c>
      <c r="J442" s="6" t="s">
        <v>39</v>
      </c>
    </row>
    <row r="443" spans="1:10" x14ac:dyDescent="0.15">
      <c r="A443" s="13">
        <v>46189</v>
      </c>
      <c r="B443" s="6" t="s">
        <v>29</v>
      </c>
      <c r="C443" s="6" t="s">
        <v>51</v>
      </c>
      <c r="D443" s="6" t="s">
        <v>51</v>
      </c>
      <c r="E443" s="6" t="s">
        <v>38</v>
      </c>
      <c r="F443" s="6">
        <v>174</v>
      </c>
      <c r="G443" s="14">
        <v>209460</v>
      </c>
      <c r="H443" s="15">
        <v>0.66456443861095127</v>
      </c>
      <c r="I443" s="6">
        <v>67</v>
      </c>
      <c r="J443" s="6" t="s">
        <v>32</v>
      </c>
    </row>
    <row r="444" spans="1:10" x14ac:dyDescent="0.15">
      <c r="A444" s="13">
        <v>46190</v>
      </c>
      <c r="B444" s="6" t="s">
        <v>33</v>
      </c>
      <c r="C444" s="6" t="s">
        <v>30</v>
      </c>
      <c r="D444" s="6" t="s">
        <v>30</v>
      </c>
      <c r="E444" s="6" t="s">
        <v>49</v>
      </c>
      <c r="F444" s="6">
        <v>161</v>
      </c>
      <c r="G444" s="14">
        <v>208539</v>
      </c>
      <c r="H444" s="15">
        <v>0.62573984519859049</v>
      </c>
      <c r="I444" s="6">
        <v>60</v>
      </c>
      <c r="J444" s="6" t="s">
        <v>32</v>
      </c>
    </row>
    <row r="445" spans="1:10" x14ac:dyDescent="0.15">
      <c r="A445" s="13">
        <v>46191</v>
      </c>
      <c r="B445" s="6" t="s">
        <v>34</v>
      </c>
      <c r="C445" s="6" t="s">
        <v>46</v>
      </c>
      <c r="D445" s="6" t="s">
        <v>46</v>
      </c>
      <c r="E445" s="6" t="s">
        <v>42</v>
      </c>
      <c r="F445" s="6">
        <v>188</v>
      </c>
      <c r="G445" s="14">
        <v>231136</v>
      </c>
      <c r="H445" s="15">
        <v>0.70618782990402884</v>
      </c>
      <c r="I445" s="6">
        <v>73</v>
      </c>
      <c r="J445" s="6" t="s">
        <v>43</v>
      </c>
    </row>
    <row r="446" spans="1:10" x14ac:dyDescent="0.15">
      <c r="A446" s="13">
        <v>46192</v>
      </c>
      <c r="B446" s="6" t="s">
        <v>36</v>
      </c>
      <c r="C446" s="6" t="s">
        <v>35</v>
      </c>
      <c r="D446" s="6" t="s">
        <v>35</v>
      </c>
      <c r="E446" s="6" t="s">
        <v>42</v>
      </c>
      <c r="F446" s="6">
        <v>165</v>
      </c>
      <c r="G446" s="14">
        <v>188665</v>
      </c>
      <c r="H446" s="15">
        <v>0.61834906188683147</v>
      </c>
      <c r="I446" s="6">
        <v>89</v>
      </c>
      <c r="J446" s="6" t="s">
        <v>43</v>
      </c>
    </row>
    <row r="447" spans="1:10" x14ac:dyDescent="0.15">
      <c r="A447" s="13">
        <v>46193</v>
      </c>
      <c r="B447" s="6" t="s">
        <v>40</v>
      </c>
      <c r="C447" s="6" t="s">
        <v>54</v>
      </c>
      <c r="D447" s="6" t="s">
        <v>54</v>
      </c>
      <c r="E447" s="6" t="s">
        <v>31</v>
      </c>
      <c r="F447" s="6">
        <v>136</v>
      </c>
      <c r="G447" s="14">
        <v>154180</v>
      </c>
      <c r="H447" s="15">
        <v>0.51966101347126825</v>
      </c>
      <c r="I447" s="6">
        <v>66</v>
      </c>
      <c r="J447" s="6" t="s">
        <v>32</v>
      </c>
    </row>
    <row r="448" spans="1:10" x14ac:dyDescent="0.15">
      <c r="A448" s="13">
        <v>46194</v>
      </c>
      <c r="B448" s="6" t="s">
        <v>41</v>
      </c>
      <c r="C448" s="6" t="s">
        <v>35</v>
      </c>
      <c r="D448" s="6" t="s">
        <v>35</v>
      </c>
      <c r="E448" s="6" t="s">
        <v>31</v>
      </c>
      <c r="F448" s="6">
        <v>163</v>
      </c>
      <c r="G448" s="14">
        <v>188950</v>
      </c>
      <c r="H448" s="15">
        <v>0.67304437566483011</v>
      </c>
      <c r="I448" s="6">
        <v>59</v>
      </c>
      <c r="J448" s="6" t="s">
        <v>43</v>
      </c>
    </row>
    <row r="449" spans="1:10" x14ac:dyDescent="0.15">
      <c r="A449" s="13">
        <v>46195</v>
      </c>
      <c r="B449" s="6" t="s">
        <v>44</v>
      </c>
      <c r="C449" s="6" t="s">
        <v>47</v>
      </c>
      <c r="D449" s="6" t="s">
        <v>47</v>
      </c>
      <c r="E449" s="6" t="s">
        <v>42</v>
      </c>
      <c r="F449" s="6">
        <v>139</v>
      </c>
      <c r="G449" s="14">
        <v>178199</v>
      </c>
      <c r="H449" s="15">
        <v>0.5797956574058567</v>
      </c>
      <c r="I449" s="6">
        <v>61</v>
      </c>
      <c r="J449" s="6" t="s">
        <v>39</v>
      </c>
    </row>
    <row r="450" spans="1:10" x14ac:dyDescent="0.15">
      <c r="A450" s="13">
        <v>46196</v>
      </c>
      <c r="B450" s="6" t="s">
        <v>29</v>
      </c>
      <c r="C450" s="6" t="s">
        <v>45</v>
      </c>
      <c r="D450" s="6" t="s">
        <v>45</v>
      </c>
      <c r="E450" s="6" t="s">
        <v>49</v>
      </c>
      <c r="F450" s="6">
        <v>185</v>
      </c>
      <c r="G450" s="14">
        <v>226114</v>
      </c>
      <c r="H450" s="15">
        <v>0.74669724847574703</v>
      </c>
      <c r="I450" s="6">
        <v>78</v>
      </c>
      <c r="J450" s="6" t="s">
        <v>39</v>
      </c>
    </row>
    <row r="451" spans="1:10" x14ac:dyDescent="0.15">
      <c r="A451" s="13">
        <v>46197</v>
      </c>
      <c r="B451" s="6" t="s">
        <v>33</v>
      </c>
      <c r="C451" s="6" t="s">
        <v>46</v>
      </c>
      <c r="D451" s="6" t="s">
        <v>46</v>
      </c>
      <c r="E451" s="6" t="s">
        <v>31</v>
      </c>
      <c r="F451" s="6">
        <v>176</v>
      </c>
      <c r="G451" s="14">
        <v>209250</v>
      </c>
      <c r="H451" s="15">
        <v>0.67598377154182709</v>
      </c>
      <c r="I451" s="6">
        <v>77</v>
      </c>
      <c r="J451" s="6" t="s">
        <v>43</v>
      </c>
    </row>
    <row r="452" spans="1:10" x14ac:dyDescent="0.15">
      <c r="A452" s="13">
        <v>46198</v>
      </c>
      <c r="B452" s="6" t="s">
        <v>34</v>
      </c>
      <c r="C452" s="6" t="s">
        <v>46</v>
      </c>
      <c r="D452" s="6" t="s">
        <v>46</v>
      </c>
      <c r="E452" s="6" t="s">
        <v>49</v>
      </c>
      <c r="F452" s="6">
        <v>186</v>
      </c>
      <c r="G452" s="14">
        <v>231283</v>
      </c>
      <c r="H452" s="15">
        <v>0.74349951664037672</v>
      </c>
      <c r="I452" s="6">
        <v>73</v>
      </c>
      <c r="J452" s="6" t="s">
        <v>43</v>
      </c>
    </row>
    <row r="453" spans="1:10" x14ac:dyDescent="0.15">
      <c r="A453" s="13">
        <v>46199</v>
      </c>
      <c r="B453" s="6" t="s">
        <v>36</v>
      </c>
      <c r="C453" s="6" t="s">
        <v>46</v>
      </c>
      <c r="D453" s="6" t="s">
        <v>46</v>
      </c>
      <c r="E453" s="6" t="s">
        <v>38</v>
      </c>
      <c r="F453" s="6">
        <v>199</v>
      </c>
      <c r="G453" s="14">
        <v>222486</v>
      </c>
      <c r="H453" s="15">
        <v>0.78445291768595826</v>
      </c>
      <c r="I453" s="6">
        <v>72</v>
      </c>
      <c r="J453" s="6" t="s">
        <v>32</v>
      </c>
    </row>
    <row r="454" spans="1:10" x14ac:dyDescent="0.15">
      <c r="A454" s="13">
        <v>46200</v>
      </c>
      <c r="B454" s="6" t="s">
        <v>40</v>
      </c>
      <c r="C454" s="6" t="s">
        <v>54</v>
      </c>
      <c r="D454" s="6" t="s">
        <v>54</v>
      </c>
      <c r="E454" s="6" t="s">
        <v>49</v>
      </c>
      <c r="F454" s="6">
        <v>144</v>
      </c>
      <c r="G454" s="14">
        <v>165838</v>
      </c>
      <c r="H454" s="15">
        <v>0.55025741308711162</v>
      </c>
      <c r="I454" s="6">
        <v>62</v>
      </c>
      <c r="J454" s="6" t="s">
        <v>43</v>
      </c>
    </row>
    <row r="455" spans="1:10" x14ac:dyDescent="0.15">
      <c r="A455" s="13">
        <v>46201</v>
      </c>
      <c r="B455" s="6" t="s">
        <v>41</v>
      </c>
      <c r="C455" s="6" t="s">
        <v>53</v>
      </c>
      <c r="D455" s="6" t="s">
        <v>53</v>
      </c>
      <c r="E455" s="6" t="s">
        <v>42</v>
      </c>
      <c r="F455" s="6">
        <v>114</v>
      </c>
      <c r="G455" s="14">
        <v>141152</v>
      </c>
      <c r="H455" s="15">
        <v>0.46593048603185999</v>
      </c>
      <c r="I455" s="6">
        <v>59</v>
      </c>
      <c r="J455" s="6" t="s">
        <v>39</v>
      </c>
    </row>
    <row r="456" spans="1:10" x14ac:dyDescent="0.15">
      <c r="A456" s="13">
        <v>46202</v>
      </c>
      <c r="B456" s="6" t="s">
        <v>44</v>
      </c>
      <c r="C456" s="6" t="s">
        <v>46</v>
      </c>
      <c r="D456" s="6" t="s">
        <v>46</v>
      </c>
      <c r="E456" s="6" t="s">
        <v>31</v>
      </c>
      <c r="F456" s="6">
        <v>195</v>
      </c>
      <c r="G456" s="14">
        <v>252191</v>
      </c>
      <c r="H456" s="15">
        <v>0.81705601742253442</v>
      </c>
      <c r="I456" s="6">
        <v>70</v>
      </c>
      <c r="J456" s="6" t="s">
        <v>32</v>
      </c>
    </row>
    <row r="457" spans="1:10" x14ac:dyDescent="0.15">
      <c r="A457" s="13">
        <v>46203</v>
      </c>
      <c r="B457" s="6" t="s">
        <v>29</v>
      </c>
      <c r="C457" s="6" t="s">
        <v>53</v>
      </c>
      <c r="D457" s="6" t="s">
        <v>53</v>
      </c>
      <c r="E457" s="6" t="s">
        <v>31</v>
      </c>
      <c r="F457" s="6">
        <v>127</v>
      </c>
      <c r="G457" s="14">
        <v>159241</v>
      </c>
      <c r="H457" s="15">
        <v>0.48312408935122109</v>
      </c>
      <c r="I457" s="6">
        <v>71</v>
      </c>
      <c r="J457" s="6" t="s">
        <v>32</v>
      </c>
    </row>
    <row r="458" spans="1:10" x14ac:dyDescent="0.15">
      <c r="A458" s="13">
        <v>46204</v>
      </c>
      <c r="B458" s="6" t="s">
        <v>33</v>
      </c>
      <c r="C458" s="6" t="s">
        <v>30</v>
      </c>
      <c r="D458" s="6" t="s">
        <v>30</v>
      </c>
      <c r="E458" s="6" t="s">
        <v>42</v>
      </c>
      <c r="F458" s="6">
        <v>189</v>
      </c>
      <c r="G458" s="14">
        <v>222184</v>
      </c>
      <c r="H458" s="15">
        <v>0.77399312015029065</v>
      </c>
      <c r="I458" s="6">
        <v>76</v>
      </c>
      <c r="J458" s="6" t="s">
        <v>32</v>
      </c>
    </row>
    <row r="459" spans="1:10" x14ac:dyDescent="0.15">
      <c r="A459" s="13">
        <v>46205</v>
      </c>
      <c r="B459" s="6" t="s">
        <v>34</v>
      </c>
      <c r="C459" s="6" t="s">
        <v>47</v>
      </c>
      <c r="D459" s="6" t="s">
        <v>47</v>
      </c>
      <c r="E459" s="6" t="s">
        <v>38</v>
      </c>
      <c r="F459" s="6">
        <v>97</v>
      </c>
      <c r="G459" s="14">
        <v>113236</v>
      </c>
      <c r="H459" s="15">
        <v>0.34562358743117599</v>
      </c>
      <c r="I459" s="6">
        <v>62</v>
      </c>
      <c r="J459" s="6" t="s">
        <v>32</v>
      </c>
    </row>
    <row r="460" spans="1:10" x14ac:dyDescent="0.15">
      <c r="A460" s="13">
        <v>46206</v>
      </c>
      <c r="B460" s="6" t="s">
        <v>36</v>
      </c>
      <c r="C460" s="6" t="s">
        <v>48</v>
      </c>
      <c r="D460" s="6" t="s">
        <v>48</v>
      </c>
      <c r="E460" s="6" t="s">
        <v>42</v>
      </c>
      <c r="F460" s="6">
        <v>139</v>
      </c>
      <c r="G460" s="14">
        <v>180686</v>
      </c>
      <c r="H460" s="15">
        <v>0.57216579102909482</v>
      </c>
      <c r="I460" s="6">
        <v>63</v>
      </c>
      <c r="J460" s="6" t="s">
        <v>32</v>
      </c>
    </row>
    <row r="461" spans="1:10" x14ac:dyDescent="0.15">
      <c r="A461" s="13">
        <v>46207</v>
      </c>
      <c r="B461" s="6" t="s">
        <v>40</v>
      </c>
      <c r="C461" s="6" t="s">
        <v>53</v>
      </c>
      <c r="D461" s="6" t="s">
        <v>53</v>
      </c>
      <c r="E461" s="6" t="s">
        <v>38</v>
      </c>
      <c r="F461" s="6">
        <v>150</v>
      </c>
      <c r="G461" s="14">
        <v>156079</v>
      </c>
      <c r="H461" s="15">
        <v>0.61321508658806989</v>
      </c>
      <c r="I461" s="6">
        <v>74</v>
      </c>
      <c r="J461" s="6" t="s">
        <v>32</v>
      </c>
    </row>
    <row r="462" spans="1:10" x14ac:dyDescent="0.15">
      <c r="A462" s="13">
        <v>46208</v>
      </c>
      <c r="B462" s="6" t="s">
        <v>41</v>
      </c>
      <c r="C462" s="6" t="s">
        <v>46</v>
      </c>
      <c r="D462" s="6" t="s">
        <v>46</v>
      </c>
      <c r="E462" s="6" t="s">
        <v>31</v>
      </c>
      <c r="F462" s="6">
        <v>164</v>
      </c>
      <c r="G462" s="14">
        <v>199419</v>
      </c>
      <c r="H462" s="15">
        <v>0.58411982744802371</v>
      </c>
      <c r="I462" s="6">
        <v>82</v>
      </c>
      <c r="J462" s="6" t="s">
        <v>32</v>
      </c>
    </row>
    <row r="463" spans="1:10" x14ac:dyDescent="0.15">
      <c r="A463" s="13">
        <v>46209</v>
      </c>
      <c r="B463" s="6" t="s">
        <v>44</v>
      </c>
      <c r="C463" s="6" t="s">
        <v>54</v>
      </c>
      <c r="D463" s="6" t="s">
        <v>54</v>
      </c>
      <c r="E463" s="6" t="s">
        <v>31</v>
      </c>
      <c r="F463" s="6">
        <v>136</v>
      </c>
      <c r="G463" s="14">
        <v>166525</v>
      </c>
      <c r="H463" s="15">
        <v>0.48342589852759882</v>
      </c>
      <c r="I463" s="6">
        <v>90</v>
      </c>
      <c r="J463" s="6" t="s">
        <v>32</v>
      </c>
    </row>
    <row r="464" spans="1:10" x14ac:dyDescent="0.15">
      <c r="A464" s="13">
        <v>46210</v>
      </c>
      <c r="B464" s="6" t="s">
        <v>29</v>
      </c>
      <c r="C464" s="6" t="s">
        <v>48</v>
      </c>
      <c r="D464" s="6" t="s">
        <v>48</v>
      </c>
      <c r="E464" s="6" t="s">
        <v>42</v>
      </c>
      <c r="F464" s="6">
        <v>140</v>
      </c>
      <c r="G464" s="14">
        <v>167181</v>
      </c>
      <c r="H464" s="15">
        <v>0.56692569737481779</v>
      </c>
      <c r="I464" s="6">
        <v>57</v>
      </c>
      <c r="J464" s="6" t="s">
        <v>43</v>
      </c>
    </row>
    <row r="465" spans="1:10" x14ac:dyDescent="0.15">
      <c r="A465" s="13">
        <v>46211</v>
      </c>
      <c r="B465" s="6" t="s">
        <v>33</v>
      </c>
      <c r="C465" s="6" t="s">
        <v>53</v>
      </c>
      <c r="D465" s="6" t="s">
        <v>53</v>
      </c>
      <c r="E465" s="6" t="s">
        <v>31</v>
      </c>
      <c r="F465" s="6">
        <v>134</v>
      </c>
      <c r="G465" s="14">
        <v>153280</v>
      </c>
      <c r="H465" s="15">
        <v>0.53881100449481356</v>
      </c>
      <c r="I465" s="6">
        <v>71</v>
      </c>
      <c r="J465" s="6" t="s">
        <v>39</v>
      </c>
    </row>
    <row r="466" spans="1:10" x14ac:dyDescent="0.15">
      <c r="A466" s="13">
        <v>46212</v>
      </c>
      <c r="B466" s="6" t="s">
        <v>34</v>
      </c>
      <c r="C466" s="6" t="s">
        <v>47</v>
      </c>
      <c r="D466" s="6" t="s">
        <v>47</v>
      </c>
      <c r="E466" s="6" t="s">
        <v>38</v>
      </c>
      <c r="F466" s="6">
        <v>121</v>
      </c>
      <c r="G466" s="14">
        <v>138220</v>
      </c>
      <c r="H466" s="15">
        <v>0.46683508529015832</v>
      </c>
      <c r="I466" s="6">
        <v>62</v>
      </c>
      <c r="J466" s="6" t="s">
        <v>43</v>
      </c>
    </row>
    <row r="467" spans="1:10" x14ac:dyDescent="0.15">
      <c r="A467" s="13">
        <v>46213</v>
      </c>
      <c r="B467" s="6" t="s">
        <v>36</v>
      </c>
      <c r="C467" s="6" t="s">
        <v>37</v>
      </c>
      <c r="D467" s="6" t="s">
        <v>37</v>
      </c>
      <c r="E467" s="6" t="s">
        <v>38</v>
      </c>
      <c r="F467" s="6">
        <v>121</v>
      </c>
      <c r="G467" s="14">
        <v>140481</v>
      </c>
      <c r="H467" s="15">
        <v>0.47527457259711192</v>
      </c>
      <c r="I467" s="6">
        <v>71</v>
      </c>
      <c r="J467" s="6" t="s">
        <v>39</v>
      </c>
    </row>
    <row r="468" spans="1:10" x14ac:dyDescent="0.15">
      <c r="A468" s="13">
        <v>46214</v>
      </c>
      <c r="B468" s="6" t="s">
        <v>40</v>
      </c>
      <c r="C468" s="6" t="s">
        <v>35</v>
      </c>
      <c r="D468" s="6" t="s">
        <v>35</v>
      </c>
      <c r="E468" s="6" t="s">
        <v>38</v>
      </c>
      <c r="F468" s="6">
        <v>195</v>
      </c>
      <c r="G468" s="14">
        <v>267385</v>
      </c>
      <c r="H468" s="15">
        <v>0.71975130301388757</v>
      </c>
      <c r="I468" s="6">
        <v>83</v>
      </c>
      <c r="J468" s="6" t="s">
        <v>32</v>
      </c>
    </row>
    <row r="469" spans="1:10" x14ac:dyDescent="0.15">
      <c r="A469" s="13">
        <v>46215</v>
      </c>
      <c r="B469" s="6" t="s">
        <v>41</v>
      </c>
      <c r="C469" s="6" t="s">
        <v>46</v>
      </c>
      <c r="D469" s="6" t="s">
        <v>46</v>
      </c>
      <c r="E469" s="6" t="s">
        <v>31</v>
      </c>
      <c r="F469" s="6">
        <v>185</v>
      </c>
      <c r="G469" s="14">
        <v>222000</v>
      </c>
      <c r="H469" s="15">
        <v>0.67654019557762224</v>
      </c>
      <c r="I469" s="6">
        <v>63</v>
      </c>
      <c r="J469" s="6" t="s">
        <v>32</v>
      </c>
    </row>
    <row r="470" spans="1:10" x14ac:dyDescent="0.15">
      <c r="A470" s="13">
        <v>46216</v>
      </c>
      <c r="B470" s="6" t="s">
        <v>44</v>
      </c>
      <c r="C470" s="6" t="s">
        <v>35</v>
      </c>
      <c r="D470" s="6" t="s">
        <v>35</v>
      </c>
      <c r="E470" s="6" t="s">
        <v>31</v>
      </c>
      <c r="F470" s="6">
        <v>167</v>
      </c>
      <c r="G470" s="14">
        <v>206828</v>
      </c>
      <c r="H470" s="15">
        <v>0.63846400827026339</v>
      </c>
      <c r="I470" s="6">
        <v>67</v>
      </c>
      <c r="J470" s="6" t="s">
        <v>39</v>
      </c>
    </row>
    <row r="471" spans="1:10" x14ac:dyDescent="0.15">
      <c r="A471" s="13">
        <v>46217</v>
      </c>
      <c r="B471" s="6" t="s">
        <v>29</v>
      </c>
      <c r="C471" s="6" t="s">
        <v>35</v>
      </c>
      <c r="D471" s="6" t="s">
        <v>35</v>
      </c>
      <c r="E471" s="6" t="s">
        <v>31</v>
      </c>
      <c r="F471" s="6">
        <v>161</v>
      </c>
      <c r="G471" s="14">
        <v>192718</v>
      </c>
      <c r="H471" s="15">
        <v>0.6257532958208557</v>
      </c>
      <c r="I471" s="6">
        <v>74</v>
      </c>
      <c r="J471" s="6" t="s">
        <v>43</v>
      </c>
    </row>
    <row r="472" spans="1:10" x14ac:dyDescent="0.15">
      <c r="A472" s="13">
        <v>46218</v>
      </c>
      <c r="B472" s="6" t="s">
        <v>33</v>
      </c>
      <c r="C472" s="6" t="s">
        <v>53</v>
      </c>
      <c r="D472" s="6" t="s">
        <v>53</v>
      </c>
      <c r="E472" s="6" t="s">
        <v>31</v>
      </c>
      <c r="F472" s="6">
        <v>156</v>
      </c>
      <c r="G472" s="14">
        <v>179090</v>
      </c>
      <c r="H472" s="15">
        <v>0.60217367650071374</v>
      </c>
      <c r="I472" s="6">
        <v>63</v>
      </c>
      <c r="J472" s="6" t="s">
        <v>43</v>
      </c>
    </row>
    <row r="473" spans="1:10" x14ac:dyDescent="0.15">
      <c r="A473" s="13">
        <v>46219</v>
      </c>
      <c r="B473" s="6" t="s">
        <v>34</v>
      </c>
      <c r="C473" s="6" t="s">
        <v>35</v>
      </c>
      <c r="D473" s="6" t="s">
        <v>35</v>
      </c>
      <c r="E473" s="6" t="s">
        <v>42</v>
      </c>
      <c r="F473" s="6">
        <v>180</v>
      </c>
      <c r="G473" s="14">
        <v>235640</v>
      </c>
      <c r="H473" s="15">
        <v>0.72401865765818851</v>
      </c>
      <c r="I473" s="6">
        <v>71</v>
      </c>
      <c r="J473" s="6" t="s">
        <v>43</v>
      </c>
    </row>
    <row r="474" spans="1:10" x14ac:dyDescent="0.15">
      <c r="A474" s="13">
        <v>46220</v>
      </c>
      <c r="B474" s="6" t="s">
        <v>36</v>
      </c>
      <c r="C474" s="6" t="s">
        <v>35</v>
      </c>
      <c r="D474" s="6" t="s">
        <v>35</v>
      </c>
      <c r="E474" s="6" t="s">
        <v>42</v>
      </c>
      <c r="F474" s="6">
        <v>171</v>
      </c>
      <c r="G474" s="14">
        <v>230431</v>
      </c>
      <c r="H474" s="15">
        <v>0.62709301471326639</v>
      </c>
      <c r="I474" s="6">
        <v>61</v>
      </c>
      <c r="J474" s="6" t="s">
        <v>32</v>
      </c>
    </row>
    <row r="475" spans="1:10" x14ac:dyDescent="0.15">
      <c r="A475" s="13">
        <v>46221</v>
      </c>
      <c r="B475" s="6" t="s">
        <v>40</v>
      </c>
      <c r="C475" s="6" t="s">
        <v>50</v>
      </c>
      <c r="D475" s="6" t="s">
        <v>50</v>
      </c>
      <c r="E475" s="6" t="s">
        <v>38</v>
      </c>
      <c r="F475" s="6">
        <v>122</v>
      </c>
      <c r="G475" s="14">
        <v>125510</v>
      </c>
      <c r="H475" s="15">
        <v>0.42644957854603671</v>
      </c>
      <c r="I475" s="6">
        <v>63</v>
      </c>
      <c r="J475" s="6" t="s">
        <v>39</v>
      </c>
    </row>
    <row r="476" spans="1:10" x14ac:dyDescent="0.15">
      <c r="A476" s="13">
        <v>46222</v>
      </c>
      <c r="B476" s="6" t="s">
        <v>41</v>
      </c>
      <c r="C476" s="6" t="s">
        <v>54</v>
      </c>
      <c r="D476" s="6" t="s">
        <v>54</v>
      </c>
      <c r="E476" s="6" t="s">
        <v>38</v>
      </c>
      <c r="F476" s="6">
        <v>132</v>
      </c>
      <c r="G476" s="14">
        <v>140813</v>
      </c>
      <c r="H476" s="15">
        <v>0.52706028715615638</v>
      </c>
      <c r="I476" s="6">
        <v>70</v>
      </c>
      <c r="J476" s="6" t="s">
        <v>32</v>
      </c>
    </row>
    <row r="477" spans="1:10" x14ac:dyDescent="0.15">
      <c r="A477" s="13">
        <v>46223</v>
      </c>
      <c r="B477" s="6" t="s">
        <v>44</v>
      </c>
      <c r="C477" s="6" t="s">
        <v>51</v>
      </c>
      <c r="D477" s="6" t="s">
        <v>51</v>
      </c>
      <c r="E477" s="6" t="s">
        <v>49</v>
      </c>
      <c r="F477" s="6">
        <v>190</v>
      </c>
      <c r="G477" s="14">
        <v>233720</v>
      </c>
      <c r="H477" s="15">
        <v>0.73835732270357279</v>
      </c>
      <c r="I477" s="6">
        <v>80</v>
      </c>
      <c r="J477" s="6" t="s">
        <v>43</v>
      </c>
    </row>
    <row r="478" spans="1:10" x14ac:dyDescent="0.15">
      <c r="A478" s="13">
        <v>46224</v>
      </c>
      <c r="B478" s="6" t="s">
        <v>29</v>
      </c>
      <c r="C478" s="6" t="s">
        <v>50</v>
      </c>
      <c r="D478" s="6" t="s">
        <v>50</v>
      </c>
      <c r="E478" s="6" t="s">
        <v>31</v>
      </c>
      <c r="F478" s="6">
        <v>123</v>
      </c>
      <c r="G478" s="14">
        <v>141235</v>
      </c>
      <c r="H478" s="15">
        <v>0.51185509832524756</v>
      </c>
      <c r="I478" s="6">
        <v>58</v>
      </c>
      <c r="J478" s="6" t="s">
        <v>32</v>
      </c>
    </row>
    <row r="479" spans="1:10" x14ac:dyDescent="0.15">
      <c r="A479" s="13">
        <v>46225</v>
      </c>
      <c r="B479" s="6" t="s">
        <v>33</v>
      </c>
      <c r="C479" s="6" t="s">
        <v>52</v>
      </c>
      <c r="D479" s="6" t="s">
        <v>52</v>
      </c>
      <c r="E479" s="6" t="s">
        <v>31</v>
      </c>
      <c r="F479" s="6">
        <v>130</v>
      </c>
      <c r="G479" s="14">
        <v>159730</v>
      </c>
      <c r="H479" s="15">
        <v>0.48214060392134572</v>
      </c>
      <c r="I479" s="6">
        <v>66</v>
      </c>
      <c r="J479" s="6" t="s">
        <v>32</v>
      </c>
    </row>
    <row r="480" spans="1:10" x14ac:dyDescent="0.15">
      <c r="A480" s="13">
        <v>46226</v>
      </c>
      <c r="B480" s="6" t="s">
        <v>34</v>
      </c>
      <c r="C480" s="6" t="s">
        <v>48</v>
      </c>
      <c r="D480" s="6" t="s">
        <v>48</v>
      </c>
      <c r="E480" s="6" t="s">
        <v>38</v>
      </c>
      <c r="F480" s="6">
        <v>162</v>
      </c>
      <c r="G480" s="14">
        <v>180742</v>
      </c>
      <c r="H480" s="15">
        <v>0.60606088572754613</v>
      </c>
      <c r="I480" s="6">
        <v>79</v>
      </c>
      <c r="J480" s="6" t="s">
        <v>32</v>
      </c>
    </row>
    <row r="481" spans="1:10" x14ac:dyDescent="0.15">
      <c r="A481" s="13">
        <v>46227</v>
      </c>
      <c r="B481" s="6" t="s">
        <v>36</v>
      </c>
      <c r="C481" s="6" t="s">
        <v>35</v>
      </c>
      <c r="D481" s="6" t="s">
        <v>35</v>
      </c>
      <c r="E481" s="6" t="s">
        <v>42</v>
      </c>
      <c r="F481" s="6">
        <v>139</v>
      </c>
      <c r="G481" s="14">
        <v>157991</v>
      </c>
      <c r="H481" s="15">
        <v>0.57975355428752984</v>
      </c>
      <c r="I481" s="6">
        <v>67</v>
      </c>
      <c r="J481" s="6" t="s">
        <v>43</v>
      </c>
    </row>
    <row r="482" spans="1:10" x14ac:dyDescent="0.15">
      <c r="A482" s="13">
        <v>46228</v>
      </c>
      <c r="B482" s="6" t="s">
        <v>40</v>
      </c>
      <c r="C482" s="6" t="s">
        <v>35</v>
      </c>
      <c r="D482" s="6" t="s">
        <v>35</v>
      </c>
      <c r="E482" s="6" t="s">
        <v>49</v>
      </c>
      <c r="F482" s="6">
        <v>171</v>
      </c>
      <c r="G482" s="14">
        <v>219252</v>
      </c>
      <c r="H482" s="15">
        <v>0.64844560181920574</v>
      </c>
      <c r="I482" s="6">
        <v>73</v>
      </c>
      <c r="J482" s="6" t="s">
        <v>32</v>
      </c>
    </row>
    <row r="483" spans="1:10" x14ac:dyDescent="0.15">
      <c r="A483" s="13">
        <v>46229</v>
      </c>
      <c r="B483" s="6" t="s">
        <v>41</v>
      </c>
      <c r="C483" s="6" t="s">
        <v>54</v>
      </c>
      <c r="D483" s="6" t="s">
        <v>54</v>
      </c>
      <c r="E483" s="6" t="s">
        <v>38</v>
      </c>
      <c r="F483" s="6">
        <v>137</v>
      </c>
      <c r="G483" s="14">
        <v>162741</v>
      </c>
      <c r="H483" s="15">
        <v>0.52507052763785611</v>
      </c>
      <c r="I483" s="6">
        <v>74</v>
      </c>
      <c r="J483" s="6" t="s">
        <v>43</v>
      </c>
    </row>
    <row r="484" spans="1:10" x14ac:dyDescent="0.15">
      <c r="A484" s="13">
        <v>46230</v>
      </c>
      <c r="B484" s="6" t="s">
        <v>44</v>
      </c>
      <c r="C484" s="6" t="s">
        <v>48</v>
      </c>
      <c r="D484" s="6" t="s">
        <v>48</v>
      </c>
      <c r="E484" s="6" t="s">
        <v>38</v>
      </c>
      <c r="F484" s="6">
        <v>111</v>
      </c>
      <c r="G484" s="14">
        <v>123132</v>
      </c>
      <c r="H484" s="15">
        <v>0.44449500763297101</v>
      </c>
      <c r="I484" s="6">
        <v>75</v>
      </c>
      <c r="J484" s="6" t="s">
        <v>32</v>
      </c>
    </row>
    <row r="485" spans="1:10" x14ac:dyDescent="0.15">
      <c r="A485" s="13">
        <v>46231</v>
      </c>
      <c r="B485" s="6" t="s">
        <v>29</v>
      </c>
      <c r="C485" s="6" t="s">
        <v>54</v>
      </c>
      <c r="D485" s="6" t="s">
        <v>54</v>
      </c>
      <c r="E485" s="6" t="s">
        <v>49</v>
      </c>
      <c r="F485" s="6">
        <v>119</v>
      </c>
      <c r="G485" s="14">
        <v>124536</v>
      </c>
      <c r="H485" s="15">
        <v>0.50693015533588115</v>
      </c>
      <c r="I485" s="6">
        <v>75</v>
      </c>
      <c r="J485" s="6" t="s">
        <v>32</v>
      </c>
    </row>
    <row r="486" spans="1:10" x14ac:dyDescent="0.15">
      <c r="A486" s="13">
        <v>46232</v>
      </c>
      <c r="B486" s="6" t="s">
        <v>33</v>
      </c>
      <c r="C486" s="6" t="s">
        <v>35</v>
      </c>
      <c r="D486" s="6" t="s">
        <v>35</v>
      </c>
      <c r="E486" s="6" t="s">
        <v>38</v>
      </c>
      <c r="F486" s="6">
        <v>141</v>
      </c>
      <c r="G486" s="14">
        <v>182345</v>
      </c>
      <c r="H486" s="15">
        <v>0.56304001809980031</v>
      </c>
      <c r="I486" s="6">
        <v>81</v>
      </c>
      <c r="J486" s="6" t="s">
        <v>32</v>
      </c>
    </row>
    <row r="487" spans="1:10" x14ac:dyDescent="0.15">
      <c r="A487" s="13">
        <v>46233</v>
      </c>
      <c r="B487" s="6" t="s">
        <v>34</v>
      </c>
      <c r="C487" s="6" t="s">
        <v>37</v>
      </c>
      <c r="D487" s="6" t="s">
        <v>37</v>
      </c>
      <c r="E487" s="6" t="s">
        <v>38</v>
      </c>
      <c r="F487" s="6">
        <v>109</v>
      </c>
      <c r="G487" s="14">
        <v>136174</v>
      </c>
      <c r="H487" s="15">
        <v>0.41994890286334352</v>
      </c>
      <c r="I487" s="6">
        <v>58</v>
      </c>
      <c r="J487" s="6" t="s">
        <v>32</v>
      </c>
    </row>
    <row r="488" spans="1:10" x14ac:dyDescent="0.15">
      <c r="A488" s="13">
        <v>46234</v>
      </c>
      <c r="B488" s="6" t="s">
        <v>36</v>
      </c>
      <c r="C488" s="6" t="s">
        <v>48</v>
      </c>
      <c r="D488" s="6" t="s">
        <v>48</v>
      </c>
      <c r="E488" s="6" t="s">
        <v>38</v>
      </c>
      <c r="F488" s="6">
        <v>114</v>
      </c>
      <c r="G488" s="14">
        <v>150554</v>
      </c>
      <c r="H488" s="15">
        <v>0.46128112029865809</v>
      </c>
      <c r="I488" s="6">
        <v>67</v>
      </c>
      <c r="J488" s="6" t="s">
        <v>32</v>
      </c>
    </row>
    <row r="489" spans="1:10" x14ac:dyDescent="0.15">
      <c r="A489" s="13">
        <v>46235</v>
      </c>
      <c r="B489" s="6" t="s">
        <v>40</v>
      </c>
      <c r="C489" s="6" t="s">
        <v>54</v>
      </c>
      <c r="D489" s="6" t="s">
        <v>54</v>
      </c>
      <c r="E489" s="6" t="s">
        <v>38</v>
      </c>
      <c r="F489" s="6">
        <v>159</v>
      </c>
      <c r="G489" s="14">
        <v>171464</v>
      </c>
      <c r="H489" s="15">
        <v>0.57865123480047354</v>
      </c>
      <c r="I489" s="6">
        <v>76</v>
      </c>
      <c r="J489" s="6" t="s">
        <v>43</v>
      </c>
    </row>
    <row r="490" spans="1:10" x14ac:dyDescent="0.15">
      <c r="A490" s="13">
        <v>46236</v>
      </c>
      <c r="B490" s="6" t="s">
        <v>41</v>
      </c>
      <c r="C490" s="6" t="s">
        <v>54</v>
      </c>
      <c r="D490" s="6" t="s">
        <v>54</v>
      </c>
      <c r="E490" s="6" t="s">
        <v>42</v>
      </c>
      <c r="F490" s="6">
        <v>106</v>
      </c>
      <c r="G490" s="14">
        <v>124853</v>
      </c>
      <c r="H490" s="15">
        <v>0.38985348356148342</v>
      </c>
      <c r="I490" s="6">
        <v>64</v>
      </c>
      <c r="J490" s="6" t="s">
        <v>32</v>
      </c>
    </row>
    <row r="491" spans="1:10" x14ac:dyDescent="0.15">
      <c r="A491" s="13">
        <v>46237</v>
      </c>
      <c r="B491" s="6" t="s">
        <v>44</v>
      </c>
      <c r="C491" s="6" t="s">
        <v>45</v>
      </c>
      <c r="D491" s="6" t="s">
        <v>45</v>
      </c>
      <c r="E491" s="6" t="s">
        <v>42</v>
      </c>
      <c r="F491" s="6">
        <v>155</v>
      </c>
      <c r="G491" s="14">
        <v>183191</v>
      </c>
      <c r="H491" s="15">
        <v>0.57950930464419537</v>
      </c>
      <c r="I491" s="6">
        <v>67</v>
      </c>
      <c r="J491" s="6" t="s">
        <v>39</v>
      </c>
    </row>
    <row r="492" spans="1:10" x14ac:dyDescent="0.15">
      <c r="A492" s="13">
        <v>46238</v>
      </c>
      <c r="B492" s="6" t="s">
        <v>29</v>
      </c>
      <c r="C492" s="6" t="s">
        <v>48</v>
      </c>
      <c r="D492" s="6" t="s">
        <v>48</v>
      </c>
      <c r="E492" s="6" t="s">
        <v>38</v>
      </c>
      <c r="F492" s="6">
        <v>86</v>
      </c>
      <c r="G492" s="14">
        <v>77974</v>
      </c>
      <c r="H492" s="15">
        <v>0.33037416610140741</v>
      </c>
      <c r="I492" s="6">
        <v>65</v>
      </c>
      <c r="J492" s="6" t="s">
        <v>39</v>
      </c>
    </row>
    <row r="493" spans="1:10" x14ac:dyDescent="0.15">
      <c r="A493" s="13">
        <v>46239</v>
      </c>
      <c r="B493" s="6" t="s">
        <v>33</v>
      </c>
      <c r="C493" s="6" t="s">
        <v>46</v>
      </c>
      <c r="D493" s="6" t="s">
        <v>46</v>
      </c>
      <c r="E493" s="6" t="s">
        <v>31</v>
      </c>
      <c r="F493" s="6">
        <v>168</v>
      </c>
      <c r="G493" s="14">
        <v>207054</v>
      </c>
      <c r="H493" s="15">
        <v>0.6584210024661612</v>
      </c>
      <c r="I493" s="6">
        <v>62</v>
      </c>
      <c r="J493" s="6" t="s">
        <v>32</v>
      </c>
    </row>
    <row r="494" spans="1:10" x14ac:dyDescent="0.15">
      <c r="A494" s="13">
        <v>46240</v>
      </c>
      <c r="B494" s="6" t="s">
        <v>34</v>
      </c>
      <c r="C494" s="6" t="s">
        <v>48</v>
      </c>
      <c r="D494" s="6" t="s">
        <v>48</v>
      </c>
      <c r="E494" s="6" t="s">
        <v>49</v>
      </c>
      <c r="F494" s="6">
        <v>94</v>
      </c>
      <c r="G494" s="14">
        <v>113673</v>
      </c>
      <c r="H494" s="15">
        <v>0.34744819471823529</v>
      </c>
      <c r="I494" s="6">
        <v>77</v>
      </c>
      <c r="J494" s="6" t="s">
        <v>32</v>
      </c>
    </row>
    <row r="495" spans="1:10" x14ac:dyDescent="0.15">
      <c r="A495" s="13">
        <v>46241</v>
      </c>
      <c r="B495" s="6" t="s">
        <v>36</v>
      </c>
      <c r="C495" s="6" t="s">
        <v>46</v>
      </c>
      <c r="D495" s="6" t="s">
        <v>46</v>
      </c>
      <c r="E495" s="6" t="s">
        <v>38</v>
      </c>
      <c r="F495" s="6">
        <v>163</v>
      </c>
      <c r="G495" s="14">
        <v>182942</v>
      </c>
      <c r="H495" s="15">
        <v>0.62279588562232979</v>
      </c>
      <c r="I495" s="6">
        <v>69</v>
      </c>
      <c r="J495" s="6" t="s">
        <v>32</v>
      </c>
    </row>
    <row r="496" spans="1:10" x14ac:dyDescent="0.15">
      <c r="A496" s="13">
        <v>46242</v>
      </c>
      <c r="B496" s="6" t="s">
        <v>40</v>
      </c>
      <c r="C496" s="6" t="s">
        <v>46</v>
      </c>
      <c r="D496" s="6" t="s">
        <v>46</v>
      </c>
      <c r="E496" s="6" t="s">
        <v>42</v>
      </c>
      <c r="F496" s="6">
        <v>167</v>
      </c>
      <c r="G496" s="14">
        <v>230636</v>
      </c>
      <c r="H496" s="15">
        <v>0.5945013620728985</v>
      </c>
      <c r="I496" s="6">
        <v>82</v>
      </c>
      <c r="J496" s="6" t="s">
        <v>32</v>
      </c>
    </row>
    <row r="497" spans="1:10" x14ac:dyDescent="0.15">
      <c r="A497" s="13">
        <v>46243</v>
      </c>
      <c r="B497" s="6" t="s">
        <v>41</v>
      </c>
      <c r="C497" s="6" t="s">
        <v>52</v>
      </c>
      <c r="D497" s="6" t="s">
        <v>52</v>
      </c>
      <c r="E497" s="6" t="s">
        <v>38</v>
      </c>
      <c r="F497" s="6">
        <v>181</v>
      </c>
      <c r="G497" s="14">
        <v>233472</v>
      </c>
      <c r="H497" s="15">
        <v>0.70907811752260863</v>
      </c>
      <c r="I497" s="6">
        <v>68</v>
      </c>
      <c r="J497" s="6" t="s">
        <v>32</v>
      </c>
    </row>
    <row r="498" spans="1:10" x14ac:dyDescent="0.15">
      <c r="A498" s="13">
        <v>46244</v>
      </c>
      <c r="B498" s="6" t="s">
        <v>44</v>
      </c>
      <c r="C498" s="6" t="s">
        <v>30</v>
      </c>
      <c r="D498" s="6" t="s">
        <v>30</v>
      </c>
      <c r="E498" s="6" t="s">
        <v>49</v>
      </c>
      <c r="F498" s="6">
        <v>140</v>
      </c>
      <c r="G498" s="14">
        <v>165760</v>
      </c>
      <c r="H498" s="15">
        <v>0.54097432240860177</v>
      </c>
      <c r="I498" s="6">
        <v>72</v>
      </c>
      <c r="J498" s="6" t="s">
        <v>39</v>
      </c>
    </row>
    <row r="499" spans="1:10" x14ac:dyDescent="0.15">
      <c r="A499" s="13">
        <v>46245</v>
      </c>
      <c r="B499" s="6" t="s">
        <v>29</v>
      </c>
      <c r="C499" s="6" t="s">
        <v>37</v>
      </c>
      <c r="D499" s="6" t="s">
        <v>37</v>
      </c>
      <c r="E499" s="6" t="s">
        <v>42</v>
      </c>
      <c r="F499" s="6">
        <v>122</v>
      </c>
      <c r="G499" s="14">
        <v>164298</v>
      </c>
      <c r="H499" s="15">
        <v>0.46559438969177908</v>
      </c>
      <c r="I499" s="6">
        <v>62</v>
      </c>
      <c r="J499" s="6" t="s">
        <v>32</v>
      </c>
    </row>
    <row r="500" spans="1:10" x14ac:dyDescent="0.15">
      <c r="A500" s="13">
        <v>46246</v>
      </c>
      <c r="B500" s="6" t="s">
        <v>33</v>
      </c>
      <c r="C500" s="6" t="s">
        <v>35</v>
      </c>
      <c r="D500" s="6" t="s">
        <v>35</v>
      </c>
      <c r="E500" s="6" t="s">
        <v>31</v>
      </c>
      <c r="F500" s="6">
        <v>146</v>
      </c>
      <c r="G500" s="14">
        <v>174901</v>
      </c>
      <c r="H500" s="15">
        <v>0.600766330198373</v>
      </c>
      <c r="I500" s="6">
        <v>85</v>
      </c>
      <c r="J500" s="6" t="s">
        <v>32</v>
      </c>
    </row>
    <row r="501" spans="1:10" x14ac:dyDescent="0.15">
      <c r="A501" s="13">
        <v>46247</v>
      </c>
      <c r="B501" s="6" t="s">
        <v>34</v>
      </c>
      <c r="C501" s="6" t="s">
        <v>46</v>
      </c>
      <c r="D501" s="6" t="s">
        <v>46</v>
      </c>
      <c r="E501" s="6" t="s">
        <v>38</v>
      </c>
      <c r="F501" s="6">
        <v>159</v>
      </c>
      <c r="G501" s="14">
        <v>198316</v>
      </c>
      <c r="H501" s="15">
        <v>0.65744593535796259</v>
      </c>
      <c r="I501" s="6">
        <v>79</v>
      </c>
      <c r="J501" s="6" t="s">
        <v>39</v>
      </c>
    </row>
  </sheetData>
  <phoneticPr fontId="8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showGridLines="0" workbookViewId="0">
      <pane ySplit="1" topLeftCell="A14" activePane="bottomLeft" state="frozen"/>
      <selection pane="bottomLeft" activeCell="C14" sqref="C14"/>
    </sheetView>
  </sheetViews>
  <sheetFormatPr defaultRowHeight="13.5" x14ac:dyDescent="0.15"/>
  <cols>
    <col min="1" max="1" width="12" customWidth="1"/>
    <col min="2" max="3" width="28" customWidth="1"/>
    <col min="4" max="4" width="12" customWidth="1"/>
    <col min="5" max="5" width="14" customWidth="1"/>
    <col min="6" max="6" width="12" customWidth="1"/>
    <col min="7" max="7" width="18" customWidth="1"/>
    <col min="8" max="8" width="12" customWidth="1"/>
    <col min="9" max="9" width="10" customWidth="1"/>
  </cols>
  <sheetData>
    <row r="1" spans="1:9" x14ac:dyDescent="0.15">
      <c r="A1" s="7" t="s">
        <v>19</v>
      </c>
      <c r="B1" s="7" t="s">
        <v>21</v>
      </c>
      <c r="C1" s="7" t="s">
        <v>135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55</v>
      </c>
      <c r="I1" s="7" t="s">
        <v>20</v>
      </c>
    </row>
    <row r="2" spans="1:9" x14ac:dyDescent="0.15">
      <c r="A2" s="16">
        <f>実績データ!A2</f>
        <v>45748</v>
      </c>
      <c r="B2" s="8" t="str">
        <f>実績データ!C2</f>
        <v>A駐車場 (新宿駅前)</v>
      </c>
      <c r="C2" s="8" t="str">
        <f t="shared" ref="C2:C65" si="0">SUBSTITUTE(SUBSTITUTE(SUBSTITUTE(SUBSTITUTE(B2," ",""),"　",""),"(","（"),")","）")</f>
        <v>A駐車場（新宿駅前）</v>
      </c>
      <c r="D2" s="8">
        <f>実績データ!F2</f>
        <v>210</v>
      </c>
      <c r="E2" s="17">
        <f>実績データ!G2</f>
        <v>257706</v>
      </c>
      <c r="F2" s="18">
        <f>実績データ!H2</f>
        <v>0.81726827292185111</v>
      </c>
      <c r="G2" s="8">
        <f>実績データ!I2</f>
        <v>84</v>
      </c>
      <c r="H2" s="8" t="str">
        <f t="shared" ref="H2:H65" si="1">TEXT(A2,"yyyy-mm")</f>
        <v>2025-04</v>
      </c>
      <c r="I2" s="8" t="str">
        <f t="shared" ref="I2:I65" si="2">TEXT(A2,"aaa")</f>
        <v>火</v>
      </c>
    </row>
    <row r="3" spans="1:9" x14ac:dyDescent="0.15">
      <c r="A3" s="16">
        <f>実績データ!A3</f>
        <v>45749</v>
      </c>
      <c r="B3" s="8" t="str">
        <f>実績データ!C3</f>
        <v>A駐車場 (新宿駅前)</v>
      </c>
      <c r="C3" s="8" t="str">
        <f t="shared" si="0"/>
        <v>A駐車場（新宿駅前）</v>
      </c>
      <c r="D3" s="8">
        <f>実績データ!F3</f>
        <v>208</v>
      </c>
      <c r="E3" s="17">
        <f>実績データ!G3</f>
        <v>255328</v>
      </c>
      <c r="F3" s="18">
        <f>実績データ!H3</f>
        <v>0.79188724987066927</v>
      </c>
      <c r="G3" s="8">
        <f>実績データ!I3</f>
        <v>71</v>
      </c>
      <c r="H3" s="8" t="str">
        <f t="shared" si="1"/>
        <v>2025-04</v>
      </c>
      <c r="I3" s="8" t="str">
        <f t="shared" si="2"/>
        <v>水</v>
      </c>
    </row>
    <row r="4" spans="1:9" x14ac:dyDescent="0.15">
      <c r="A4" s="16">
        <f>実績データ!A4</f>
        <v>45750</v>
      </c>
      <c r="B4" s="8" t="str">
        <f>実績データ!C4</f>
        <v>B駐車場 (渋谷南)</v>
      </c>
      <c r="C4" s="8" t="str">
        <f t="shared" si="0"/>
        <v>B駐車場（渋谷南）</v>
      </c>
      <c r="D4" s="8">
        <f>実績データ!F4</f>
        <v>176</v>
      </c>
      <c r="E4" s="17">
        <f>実績データ!G4</f>
        <v>221279</v>
      </c>
      <c r="F4" s="18">
        <f>実績データ!H4</f>
        <v>0.71714088361652606</v>
      </c>
      <c r="G4" s="8">
        <f>実績データ!I4</f>
        <v>68</v>
      </c>
      <c r="H4" s="8" t="str">
        <f t="shared" si="1"/>
        <v>2025-04</v>
      </c>
      <c r="I4" s="8" t="str">
        <f t="shared" si="2"/>
        <v>木</v>
      </c>
    </row>
    <row r="5" spans="1:9" x14ac:dyDescent="0.15">
      <c r="A5" s="16">
        <f>実績データ!A5</f>
        <v>45751</v>
      </c>
      <c r="B5" s="8" t="str">
        <f>実績データ!C5</f>
        <v>C駐車場（池袋西口）</v>
      </c>
      <c r="C5" s="8" t="str">
        <f t="shared" si="0"/>
        <v>C駐車場（池袋西口）</v>
      </c>
      <c r="D5" s="8">
        <f>実績データ!F5</f>
        <v>137</v>
      </c>
      <c r="E5" s="17">
        <f>実績データ!G5</f>
        <v>171258</v>
      </c>
      <c r="F5" s="18">
        <f>実績データ!H5</f>
        <v>0.52829944871258472</v>
      </c>
      <c r="G5" s="8">
        <f>実績データ!I5</f>
        <v>64</v>
      </c>
      <c r="H5" s="8" t="str">
        <f t="shared" si="1"/>
        <v>2025-04</v>
      </c>
      <c r="I5" s="8" t="str">
        <f t="shared" si="2"/>
        <v>金</v>
      </c>
    </row>
    <row r="6" spans="1:9" x14ac:dyDescent="0.15">
      <c r="A6" s="16">
        <f>実績データ!A6</f>
        <v>45752</v>
      </c>
      <c r="B6" s="8" t="str">
        <f>実績データ!C6</f>
        <v>C駐車場（池袋西口）</v>
      </c>
      <c r="C6" s="8" t="str">
        <f t="shared" si="0"/>
        <v>C駐車場（池袋西口）</v>
      </c>
      <c r="D6" s="8">
        <f>実績データ!F6</f>
        <v>125</v>
      </c>
      <c r="E6" s="17">
        <f>実績データ!G6</f>
        <v>135544</v>
      </c>
      <c r="F6" s="18">
        <f>実績データ!H6</f>
        <v>0.47525878261727422</v>
      </c>
      <c r="G6" s="8">
        <f>実績データ!I6</f>
        <v>58</v>
      </c>
      <c r="H6" s="8" t="str">
        <f t="shared" si="1"/>
        <v>2025-04</v>
      </c>
      <c r="I6" s="8" t="str">
        <f t="shared" si="2"/>
        <v>土</v>
      </c>
    </row>
    <row r="7" spans="1:9" x14ac:dyDescent="0.15">
      <c r="A7" s="16">
        <f>実績データ!A7</f>
        <v>45753</v>
      </c>
      <c r="B7" s="8" t="str">
        <f>実績データ!C7</f>
        <v>C駐車場（池袋西口）</v>
      </c>
      <c r="C7" s="8" t="str">
        <f t="shared" si="0"/>
        <v>C駐車場（池袋西口）</v>
      </c>
      <c r="D7" s="8">
        <f>実績データ!F7</f>
        <v>126</v>
      </c>
      <c r="E7" s="17">
        <f>実績データ!G7</f>
        <v>141186</v>
      </c>
      <c r="F7" s="18">
        <f>実績データ!H7</f>
        <v>0.50875188056610388</v>
      </c>
      <c r="G7" s="8">
        <f>実績データ!I7</f>
        <v>69</v>
      </c>
      <c r="H7" s="8" t="str">
        <f t="shared" si="1"/>
        <v>2025-04</v>
      </c>
      <c r="I7" s="8" t="str">
        <f t="shared" si="2"/>
        <v>日</v>
      </c>
    </row>
    <row r="8" spans="1:9" x14ac:dyDescent="0.15">
      <c r="A8" s="16">
        <f>実績データ!A8</f>
        <v>45754</v>
      </c>
      <c r="B8" s="8" t="str">
        <f>実績データ!C8</f>
        <v>A駐車場（新宿駅前）</v>
      </c>
      <c r="C8" s="8" t="str">
        <f t="shared" si="0"/>
        <v>A駐車場（新宿駅前）</v>
      </c>
      <c r="D8" s="8">
        <f>実績データ!F8</f>
        <v>181</v>
      </c>
      <c r="E8" s="17">
        <f>実績データ!G8</f>
        <v>229841</v>
      </c>
      <c r="F8" s="18">
        <f>実績データ!H8</f>
        <v>0.70666926302802424</v>
      </c>
      <c r="G8" s="8">
        <f>実績データ!I8</f>
        <v>67</v>
      </c>
      <c r="H8" s="8" t="str">
        <f t="shared" si="1"/>
        <v>2025-04</v>
      </c>
      <c r="I8" s="8" t="str">
        <f t="shared" si="2"/>
        <v>月</v>
      </c>
    </row>
    <row r="9" spans="1:9" x14ac:dyDescent="0.15">
      <c r="A9" s="16">
        <f>実績データ!A9</f>
        <v>45755</v>
      </c>
      <c r="B9" s="8" t="str">
        <f>実績データ!C9</f>
        <v xml:space="preserve"> A駐車場（新宿駅前）</v>
      </c>
      <c r="C9" s="8" t="str">
        <f t="shared" si="0"/>
        <v>A駐車場（新宿駅前）</v>
      </c>
      <c r="D9" s="8">
        <f>実績データ!F9</f>
        <v>187</v>
      </c>
      <c r="E9" s="17">
        <f>実績データ!G9</f>
        <v>223484</v>
      </c>
      <c r="F9" s="18">
        <f>実績データ!H9</f>
        <v>0.71649664311216366</v>
      </c>
      <c r="G9" s="8">
        <f>実績データ!I9</f>
        <v>67</v>
      </c>
      <c r="H9" s="8" t="str">
        <f t="shared" si="1"/>
        <v>2025-04</v>
      </c>
      <c r="I9" s="8" t="str">
        <f t="shared" si="2"/>
        <v>火</v>
      </c>
    </row>
    <row r="10" spans="1:9" x14ac:dyDescent="0.15">
      <c r="A10" s="16">
        <f>実績データ!A10</f>
        <v>45756</v>
      </c>
      <c r="B10" s="8" t="str">
        <f>実績データ!C10</f>
        <v xml:space="preserve"> C駐車場（池袋西口）</v>
      </c>
      <c r="C10" s="8" t="str">
        <f t="shared" si="0"/>
        <v>C駐車場（池袋西口）</v>
      </c>
      <c r="D10" s="8">
        <f>実績データ!F10</f>
        <v>157</v>
      </c>
      <c r="E10" s="17">
        <f>実績データ!G10</f>
        <v>169505</v>
      </c>
      <c r="F10" s="18">
        <f>実績データ!H10</f>
        <v>0.60501975007370801</v>
      </c>
      <c r="G10" s="8">
        <f>実績データ!I10</f>
        <v>70</v>
      </c>
      <c r="H10" s="8" t="str">
        <f t="shared" si="1"/>
        <v>2025-04</v>
      </c>
      <c r="I10" s="8" t="str">
        <f t="shared" si="2"/>
        <v>水</v>
      </c>
    </row>
    <row r="11" spans="1:9" x14ac:dyDescent="0.15">
      <c r="A11" s="16">
        <f>実績データ!A11</f>
        <v>45757</v>
      </c>
      <c r="B11" s="8" t="str">
        <f>実績データ!C11</f>
        <v xml:space="preserve"> A駐車場（新宿駅前）</v>
      </c>
      <c r="C11" s="8" t="str">
        <f t="shared" si="0"/>
        <v>A駐車場（新宿駅前）</v>
      </c>
      <c r="D11" s="8">
        <f>実績データ!F11</f>
        <v>206</v>
      </c>
      <c r="E11" s="17">
        <f>実績データ!G11</f>
        <v>279176</v>
      </c>
      <c r="F11" s="18">
        <f>実績データ!H11</f>
        <v>0.81400656417975203</v>
      </c>
      <c r="G11" s="8">
        <f>実績データ!I11</f>
        <v>67</v>
      </c>
      <c r="H11" s="8" t="str">
        <f t="shared" si="1"/>
        <v>2025-04</v>
      </c>
      <c r="I11" s="8" t="str">
        <f t="shared" si="2"/>
        <v>木</v>
      </c>
    </row>
    <row r="12" spans="1:9" x14ac:dyDescent="0.15">
      <c r="A12" s="16">
        <f>実績データ!A12</f>
        <v>45758</v>
      </c>
      <c r="B12" s="8" t="str">
        <f>実績データ!C12</f>
        <v>B駐車場 (渋谷南)</v>
      </c>
      <c r="C12" s="8" t="str">
        <f t="shared" si="0"/>
        <v>B駐車場（渋谷南）</v>
      </c>
      <c r="D12" s="8">
        <f>実績データ!F12</f>
        <v>188</v>
      </c>
      <c r="E12" s="17">
        <f>実績データ!G12</f>
        <v>242111</v>
      </c>
      <c r="F12" s="18">
        <f>実績データ!H12</f>
        <v>0.69775571840412387</v>
      </c>
      <c r="G12" s="8">
        <f>実績データ!I12</f>
        <v>75</v>
      </c>
      <c r="H12" s="8" t="str">
        <f t="shared" si="1"/>
        <v>2025-04</v>
      </c>
      <c r="I12" s="8" t="str">
        <f t="shared" si="2"/>
        <v>金</v>
      </c>
    </row>
    <row r="13" spans="1:9" x14ac:dyDescent="0.15">
      <c r="A13" s="16">
        <f>実績データ!A13</f>
        <v>45759</v>
      </c>
      <c r="B13" s="8" t="str">
        <f>実績データ!C13</f>
        <v>C駐車場（池袋西口）</v>
      </c>
      <c r="C13" s="8" t="str">
        <f t="shared" si="0"/>
        <v>C駐車場（池袋西口）</v>
      </c>
      <c r="D13" s="8">
        <f>実績データ!F13</f>
        <v>162</v>
      </c>
      <c r="E13" s="17">
        <f>実績データ!G13</f>
        <v>233601</v>
      </c>
      <c r="F13" s="18">
        <f>実績データ!H13</f>
        <v>0.60782322807819134</v>
      </c>
      <c r="G13" s="8">
        <f>実績データ!I13</f>
        <v>67</v>
      </c>
      <c r="H13" s="8" t="str">
        <f t="shared" si="1"/>
        <v>2025-04</v>
      </c>
      <c r="I13" s="8" t="str">
        <f t="shared" si="2"/>
        <v>土</v>
      </c>
    </row>
    <row r="14" spans="1:9" x14ac:dyDescent="0.15">
      <c r="A14" s="16">
        <f>実績データ!A14</f>
        <v>45760</v>
      </c>
      <c r="B14" s="8" t="str">
        <f>実績データ!C14</f>
        <v>B駐車場 (渋谷南)</v>
      </c>
      <c r="C14" s="8" t="str">
        <f t="shared" si="0"/>
        <v>B駐車場（渋谷南）</v>
      </c>
      <c r="D14" s="8">
        <f>実績データ!F14</f>
        <v>210</v>
      </c>
      <c r="E14" s="17">
        <f>実績データ!G14</f>
        <v>248268</v>
      </c>
      <c r="F14" s="18">
        <f>実績データ!H14</f>
        <v>0.83931079369436856</v>
      </c>
      <c r="G14" s="8">
        <f>実績データ!I14</f>
        <v>81</v>
      </c>
      <c r="H14" s="8" t="str">
        <f t="shared" si="1"/>
        <v>2025-04</v>
      </c>
      <c r="I14" s="8" t="str">
        <f t="shared" si="2"/>
        <v>日</v>
      </c>
    </row>
    <row r="15" spans="1:9" x14ac:dyDescent="0.15">
      <c r="A15" s="16">
        <f>実績データ!A15</f>
        <v>45761</v>
      </c>
      <c r="B15" s="8" t="str">
        <f>実績データ!C15</f>
        <v>A駐車場（新宿駅前）</v>
      </c>
      <c r="C15" s="8" t="str">
        <f t="shared" si="0"/>
        <v>A駐車場（新宿駅前）</v>
      </c>
      <c r="D15" s="8">
        <f>実績データ!F15</f>
        <v>191</v>
      </c>
      <c r="E15" s="17">
        <f>実績データ!G15</f>
        <v>227659</v>
      </c>
      <c r="F15" s="18">
        <f>実績データ!H15</f>
        <v>0.77833506641878591</v>
      </c>
      <c r="G15" s="8">
        <f>実績データ!I15</f>
        <v>63</v>
      </c>
      <c r="H15" s="8" t="str">
        <f t="shared" si="1"/>
        <v>2025-04</v>
      </c>
      <c r="I15" s="8" t="str">
        <f t="shared" si="2"/>
        <v>月</v>
      </c>
    </row>
    <row r="16" spans="1:9" x14ac:dyDescent="0.15">
      <c r="A16" s="16">
        <f>実績データ!A16</f>
        <v>45762</v>
      </c>
      <c r="B16" s="8" t="str">
        <f>実績データ!C16</f>
        <v>D駐車場 (横浜元町)</v>
      </c>
      <c r="C16" s="8" t="str">
        <f t="shared" si="0"/>
        <v>D駐車場（横浜元町）</v>
      </c>
      <c r="D16" s="8">
        <f>実績データ!F16</f>
        <v>134</v>
      </c>
      <c r="E16" s="17">
        <f>実績データ!G16</f>
        <v>157590</v>
      </c>
      <c r="F16" s="18">
        <f>実績データ!H16</f>
        <v>0.5056464621476654</v>
      </c>
      <c r="G16" s="8">
        <f>実績データ!I16</f>
        <v>57</v>
      </c>
      <c r="H16" s="8" t="str">
        <f t="shared" si="1"/>
        <v>2025-04</v>
      </c>
      <c r="I16" s="8" t="str">
        <f t="shared" si="2"/>
        <v>火</v>
      </c>
    </row>
    <row r="17" spans="1:9" x14ac:dyDescent="0.15">
      <c r="A17" s="16">
        <f>実績データ!A17</f>
        <v>45763</v>
      </c>
      <c r="B17" s="8" t="str">
        <f>実績データ!C17</f>
        <v>C駐車場 (池袋西口)</v>
      </c>
      <c r="C17" s="8" t="str">
        <f t="shared" si="0"/>
        <v>C駐車場（池袋西口）</v>
      </c>
      <c r="D17" s="8">
        <f>実績データ!F17</f>
        <v>151</v>
      </c>
      <c r="E17" s="17">
        <f>実績データ!G17</f>
        <v>167709</v>
      </c>
      <c r="F17" s="18">
        <f>実績データ!H17</f>
        <v>0.59145614131077062</v>
      </c>
      <c r="G17" s="8">
        <f>実績データ!I17</f>
        <v>75</v>
      </c>
      <c r="H17" s="8" t="str">
        <f t="shared" si="1"/>
        <v>2025-04</v>
      </c>
      <c r="I17" s="8" t="str">
        <f t="shared" si="2"/>
        <v>水</v>
      </c>
    </row>
    <row r="18" spans="1:9" x14ac:dyDescent="0.15">
      <c r="A18" s="16">
        <f>実績データ!A18</f>
        <v>45764</v>
      </c>
      <c r="B18" s="8" t="str">
        <f>実績データ!C18</f>
        <v>C駐車場（池袋西口）</v>
      </c>
      <c r="C18" s="8" t="str">
        <f t="shared" si="0"/>
        <v>C駐車場（池袋西口）</v>
      </c>
      <c r="D18" s="8">
        <f>実績データ!F18</f>
        <v>130</v>
      </c>
      <c r="E18" s="17">
        <f>実績データ!G18</f>
        <v>155118</v>
      </c>
      <c r="F18" s="18">
        <f>実績データ!H18</f>
        <v>0.43371959363126877</v>
      </c>
      <c r="G18" s="8">
        <f>実績データ!I18</f>
        <v>85</v>
      </c>
      <c r="H18" s="8" t="str">
        <f t="shared" si="1"/>
        <v>2025-04</v>
      </c>
      <c r="I18" s="8" t="str">
        <f t="shared" si="2"/>
        <v>木</v>
      </c>
    </row>
    <row r="19" spans="1:9" x14ac:dyDescent="0.15">
      <c r="A19" s="16">
        <f>実績データ!A19</f>
        <v>45765</v>
      </c>
      <c r="B19" s="8" t="str">
        <f>実績データ!C19</f>
        <v>B駐車場 (渋谷南)</v>
      </c>
      <c r="C19" s="8" t="str">
        <f t="shared" si="0"/>
        <v>B駐車場（渋谷南）</v>
      </c>
      <c r="D19" s="8">
        <f>実績データ!F19</f>
        <v>220</v>
      </c>
      <c r="E19" s="17">
        <f>実績データ!G19</f>
        <v>252629</v>
      </c>
      <c r="F19" s="18">
        <f>実績データ!H19</f>
        <v>0.88082553494715499</v>
      </c>
      <c r="G19" s="8">
        <f>実績データ!I19</f>
        <v>82</v>
      </c>
      <c r="H19" s="8" t="str">
        <f t="shared" si="1"/>
        <v>2025-04</v>
      </c>
      <c r="I19" s="8" t="str">
        <f t="shared" si="2"/>
        <v>金</v>
      </c>
    </row>
    <row r="20" spans="1:9" x14ac:dyDescent="0.15">
      <c r="A20" s="16">
        <f>実績データ!A20</f>
        <v>45766</v>
      </c>
      <c r="B20" s="8" t="str">
        <f>実績データ!C20</f>
        <v>B駐車場（渋谷南）</v>
      </c>
      <c r="C20" s="8" t="str">
        <f t="shared" si="0"/>
        <v>B駐車場（渋谷南）</v>
      </c>
      <c r="D20" s="8">
        <f>実績データ!F20</f>
        <v>181</v>
      </c>
      <c r="E20" s="17">
        <f>実績データ!G20</f>
        <v>199918</v>
      </c>
      <c r="F20" s="18">
        <f>実績データ!H20</f>
        <v>0.71794625240179566</v>
      </c>
      <c r="G20" s="8">
        <f>実績データ!I20</f>
        <v>86</v>
      </c>
      <c r="H20" s="8" t="str">
        <f t="shared" si="1"/>
        <v>2025-04</v>
      </c>
      <c r="I20" s="8" t="str">
        <f t="shared" si="2"/>
        <v>土</v>
      </c>
    </row>
    <row r="21" spans="1:9" x14ac:dyDescent="0.15">
      <c r="A21" s="16">
        <f>実績データ!A21</f>
        <v>45767</v>
      </c>
      <c r="B21" s="8" t="str">
        <f>実績データ!C21</f>
        <v>C駐車場（池袋西口）</v>
      </c>
      <c r="C21" s="8" t="str">
        <f t="shared" si="0"/>
        <v>C駐車場（池袋西口）</v>
      </c>
      <c r="D21" s="8">
        <f>実績データ!F21</f>
        <v>128</v>
      </c>
      <c r="E21" s="17">
        <f>実績データ!G21</f>
        <v>162938</v>
      </c>
      <c r="F21" s="18">
        <f>実績データ!H21</f>
        <v>0.43977142340257391</v>
      </c>
      <c r="G21" s="8">
        <f>実績データ!I21</f>
        <v>80</v>
      </c>
      <c r="H21" s="8" t="str">
        <f t="shared" si="1"/>
        <v>2025-04</v>
      </c>
      <c r="I21" s="8" t="str">
        <f t="shared" si="2"/>
        <v>日</v>
      </c>
    </row>
    <row r="22" spans="1:9" x14ac:dyDescent="0.15">
      <c r="A22" s="16">
        <f>実績データ!A22</f>
        <v>45768</v>
      </c>
      <c r="B22" s="8" t="str">
        <f>実績データ!C22</f>
        <v>B駐車場（渋谷南）</v>
      </c>
      <c r="C22" s="8" t="str">
        <f t="shared" si="0"/>
        <v>B駐車場（渋谷南）</v>
      </c>
      <c r="D22" s="8">
        <f>実績データ!F22</f>
        <v>192</v>
      </c>
      <c r="E22" s="17">
        <f>実績データ!G22</f>
        <v>239048</v>
      </c>
      <c r="F22" s="18">
        <f>実績データ!H22</f>
        <v>0.69447460879298784</v>
      </c>
      <c r="G22" s="8">
        <f>実績データ!I22</f>
        <v>74</v>
      </c>
      <c r="H22" s="8" t="str">
        <f t="shared" si="1"/>
        <v>2025-04</v>
      </c>
      <c r="I22" s="8" t="str">
        <f t="shared" si="2"/>
        <v>月</v>
      </c>
    </row>
    <row r="23" spans="1:9" x14ac:dyDescent="0.15">
      <c r="A23" s="16">
        <f>実績データ!A23</f>
        <v>45769</v>
      </c>
      <c r="B23" s="8" t="str">
        <f>実績データ!C23</f>
        <v>B駐車場 (渋谷南)</v>
      </c>
      <c r="C23" s="8" t="str">
        <f t="shared" si="0"/>
        <v>B駐車場（渋谷南）</v>
      </c>
      <c r="D23" s="8">
        <f>実績データ!F23</f>
        <v>193</v>
      </c>
      <c r="E23" s="17">
        <f>実績データ!G23</f>
        <v>240565</v>
      </c>
      <c r="F23" s="18">
        <f>実績データ!H23</f>
        <v>0.72194866446640715</v>
      </c>
      <c r="G23" s="8">
        <f>実績データ!I23</f>
        <v>86</v>
      </c>
      <c r="H23" s="8" t="str">
        <f t="shared" si="1"/>
        <v>2025-04</v>
      </c>
      <c r="I23" s="8" t="str">
        <f t="shared" si="2"/>
        <v>火</v>
      </c>
    </row>
    <row r="24" spans="1:9" x14ac:dyDescent="0.15">
      <c r="A24" s="16">
        <f>実績データ!A24</f>
        <v>45770</v>
      </c>
      <c r="B24" s="8" t="str">
        <f>実績データ!C24</f>
        <v xml:space="preserve">B駐車場（渋谷南） </v>
      </c>
      <c r="C24" s="8" t="str">
        <f t="shared" si="0"/>
        <v>B駐車場（渋谷南）</v>
      </c>
      <c r="D24" s="8">
        <f>実績データ!F24</f>
        <v>161</v>
      </c>
      <c r="E24" s="17">
        <f>実績データ!G24</f>
        <v>194945</v>
      </c>
      <c r="F24" s="18">
        <f>実績データ!H24</f>
        <v>0.6531294783149667</v>
      </c>
      <c r="G24" s="8">
        <f>実績データ!I24</f>
        <v>70</v>
      </c>
      <c r="H24" s="8" t="str">
        <f t="shared" si="1"/>
        <v>2025-04</v>
      </c>
      <c r="I24" s="8" t="str">
        <f t="shared" si="2"/>
        <v>水</v>
      </c>
    </row>
    <row r="25" spans="1:9" x14ac:dyDescent="0.15">
      <c r="A25" s="16">
        <f>実績データ!A25</f>
        <v>45771</v>
      </c>
      <c r="B25" s="8" t="str">
        <f>実績データ!C25</f>
        <v>B駐車場 (渋谷南)</v>
      </c>
      <c r="C25" s="8" t="str">
        <f t="shared" si="0"/>
        <v>B駐車場（渋谷南）</v>
      </c>
      <c r="D25" s="8">
        <f>実績データ!F25</f>
        <v>210</v>
      </c>
      <c r="E25" s="17">
        <f>実績データ!G25</f>
        <v>270232</v>
      </c>
      <c r="F25" s="18">
        <f>実績データ!H25</f>
        <v>0.78574256724186331</v>
      </c>
      <c r="G25" s="8">
        <f>実績データ!I25</f>
        <v>84</v>
      </c>
      <c r="H25" s="8" t="str">
        <f t="shared" si="1"/>
        <v>2025-04</v>
      </c>
      <c r="I25" s="8" t="str">
        <f t="shared" si="2"/>
        <v>木</v>
      </c>
    </row>
    <row r="26" spans="1:9" x14ac:dyDescent="0.15">
      <c r="A26" s="16">
        <f>実績データ!A26</f>
        <v>45772</v>
      </c>
      <c r="B26" s="8" t="str">
        <f>実績データ!C26</f>
        <v>A駐車場 (新宿駅前)</v>
      </c>
      <c r="C26" s="8" t="str">
        <f t="shared" si="0"/>
        <v>A駐車場（新宿駅前）</v>
      </c>
      <c r="D26" s="8">
        <f>実績データ!F26</f>
        <v>180</v>
      </c>
      <c r="E26" s="17">
        <f>実績データ!G26</f>
        <v>225875</v>
      </c>
      <c r="F26" s="18">
        <f>実績データ!H26</f>
        <v>0.70939095683442555</v>
      </c>
      <c r="G26" s="8">
        <f>実績データ!I26</f>
        <v>67</v>
      </c>
      <c r="H26" s="8" t="str">
        <f t="shared" si="1"/>
        <v>2025-04</v>
      </c>
      <c r="I26" s="8" t="str">
        <f t="shared" si="2"/>
        <v>金</v>
      </c>
    </row>
    <row r="27" spans="1:9" x14ac:dyDescent="0.15">
      <c r="A27" s="16">
        <f>実績データ!A27</f>
        <v>45773</v>
      </c>
      <c r="B27" s="8" t="str">
        <f>実績データ!C27</f>
        <v>B駐車場 (渋谷南)</v>
      </c>
      <c r="C27" s="8" t="str">
        <f t="shared" si="0"/>
        <v>B駐車場（渋谷南）</v>
      </c>
      <c r="D27" s="8">
        <f>実績データ!F27</f>
        <v>190</v>
      </c>
      <c r="E27" s="17">
        <f>実績データ!G27</f>
        <v>240170</v>
      </c>
      <c r="F27" s="18">
        <f>実績データ!H27</f>
        <v>0.73086568203607649</v>
      </c>
      <c r="G27" s="8">
        <f>実績データ!I27</f>
        <v>96</v>
      </c>
      <c r="H27" s="8" t="str">
        <f t="shared" si="1"/>
        <v>2025-04</v>
      </c>
      <c r="I27" s="8" t="str">
        <f t="shared" si="2"/>
        <v>土</v>
      </c>
    </row>
    <row r="28" spans="1:9" x14ac:dyDescent="0.15">
      <c r="A28" s="16">
        <f>実績データ!A28</f>
        <v>45774</v>
      </c>
      <c r="B28" s="8" t="str">
        <f>実績データ!C28</f>
        <v>A駐車場（新宿駅前）</v>
      </c>
      <c r="C28" s="8" t="str">
        <f t="shared" si="0"/>
        <v>A駐車場（新宿駅前）</v>
      </c>
      <c r="D28" s="8">
        <f>実績データ!F28</f>
        <v>196</v>
      </c>
      <c r="E28" s="17">
        <f>実績データ!G28</f>
        <v>226894</v>
      </c>
      <c r="F28" s="18">
        <f>実績データ!H28</f>
        <v>0.76926707736274291</v>
      </c>
      <c r="G28" s="8">
        <f>実績データ!I28</f>
        <v>72</v>
      </c>
      <c r="H28" s="8" t="str">
        <f t="shared" si="1"/>
        <v>2025-04</v>
      </c>
      <c r="I28" s="8" t="str">
        <f t="shared" si="2"/>
        <v>日</v>
      </c>
    </row>
    <row r="29" spans="1:9" x14ac:dyDescent="0.15">
      <c r="A29" s="16">
        <f>実績データ!A29</f>
        <v>45775</v>
      </c>
      <c r="B29" s="8" t="str">
        <f>実績データ!C29</f>
        <v xml:space="preserve">D駐車場（横浜元町） </v>
      </c>
      <c r="C29" s="8" t="str">
        <f t="shared" si="0"/>
        <v>D駐車場（横浜元町）</v>
      </c>
      <c r="D29" s="8">
        <f>実績データ!F29</f>
        <v>97</v>
      </c>
      <c r="E29" s="17">
        <f>実績データ!G29</f>
        <v>116294</v>
      </c>
      <c r="F29" s="18">
        <f>実績データ!H29</f>
        <v>0.39024843725939368</v>
      </c>
      <c r="G29" s="8">
        <f>実績データ!I29</f>
        <v>67</v>
      </c>
      <c r="H29" s="8" t="str">
        <f t="shared" si="1"/>
        <v>2025-04</v>
      </c>
      <c r="I29" s="8" t="str">
        <f t="shared" si="2"/>
        <v>月</v>
      </c>
    </row>
    <row r="30" spans="1:9" x14ac:dyDescent="0.15">
      <c r="A30" s="16">
        <f>実績データ!A30</f>
        <v>45776</v>
      </c>
      <c r="B30" s="8" t="str">
        <f>実績データ!C30</f>
        <v>D駐車場（横浜元町）</v>
      </c>
      <c r="C30" s="8" t="str">
        <f t="shared" si="0"/>
        <v>D駐車場（横浜元町）</v>
      </c>
      <c r="D30" s="8">
        <f>実績データ!F30</f>
        <v>126</v>
      </c>
      <c r="E30" s="17">
        <f>実績データ!G30</f>
        <v>165500</v>
      </c>
      <c r="F30" s="18">
        <f>実績データ!H30</f>
        <v>0.47713591356006591</v>
      </c>
      <c r="G30" s="8">
        <f>実績データ!I30</f>
        <v>56</v>
      </c>
      <c r="H30" s="8" t="str">
        <f t="shared" si="1"/>
        <v>2025-04</v>
      </c>
      <c r="I30" s="8" t="str">
        <f t="shared" si="2"/>
        <v>火</v>
      </c>
    </row>
    <row r="31" spans="1:9" x14ac:dyDescent="0.15">
      <c r="A31" s="16">
        <f>実績データ!A31</f>
        <v>45777</v>
      </c>
      <c r="B31" s="8" t="str">
        <f>実績データ!C31</f>
        <v>C駐車場（池袋西口）</v>
      </c>
      <c r="C31" s="8" t="str">
        <f t="shared" si="0"/>
        <v>C駐車場（池袋西口）</v>
      </c>
      <c r="D31" s="8">
        <f>実績データ!F31</f>
        <v>139</v>
      </c>
      <c r="E31" s="17">
        <f>実績データ!G31</f>
        <v>169490</v>
      </c>
      <c r="F31" s="18">
        <f>実績データ!H31</f>
        <v>0.5335044368914581</v>
      </c>
      <c r="G31" s="8">
        <f>実績データ!I31</f>
        <v>65</v>
      </c>
      <c r="H31" s="8" t="str">
        <f t="shared" si="1"/>
        <v>2025-04</v>
      </c>
      <c r="I31" s="8" t="str">
        <f t="shared" si="2"/>
        <v>水</v>
      </c>
    </row>
    <row r="32" spans="1:9" x14ac:dyDescent="0.15">
      <c r="A32" s="16">
        <f>実績データ!A32</f>
        <v>45778</v>
      </c>
      <c r="B32" s="8" t="str">
        <f>実績データ!C32</f>
        <v>D駐車場（横浜元町）</v>
      </c>
      <c r="C32" s="8" t="str">
        <f t="shared" si="0"/>
        <v>D駐車場（横浜元町）</v>
      </c>
      <c r="D32" s="8">
        <f>実績データ!F32</f>
        <v>97</v>
      </c>
      <c r="E32" s="17">
        <f>実績データ!G32</f>
        <v>113069</v>
      </c>
      <c r="F32" s="18">
        <f>実績データ!H32</f>
        <v>0.42201280627319759</v>
      </c>
      <c r="G32" s="8">
        <f>実績データ!I32</f>
        <v>87</v>
      </c>
      <c r="H32" s="8" t="str">
        <f t="shared" si="1"/>
        <v>2025-05</v>
      </c>
      <c r="I32" s="8" t="str">
        <f t="shared" si="2"/>
        <v>木</v>
      </c>
    </row>
    <row r="33" spans="1:9" x14ac:dyDescent="0.15">
      <c r="A33" s="16">
        <f>実績データ!A33</f>
        <v>45779</v>
      </c>
      <c r="B33" s="8" t="str">
        <f>実績データ!C33</f>
        <v>A駐車場 (新宿駅前)</v>
      </c>
      <c r="C33" s="8" t="str">
        <f t="shared" si="0"/>
        <v>A駐車場（新宿駅前）</v>
      </c>
      <c r="D33" s="8">
        <f>実績データ!F33</f>
        <v>187</v>
      </c>
      <c r="E33" s="17">
        <f>実績データ!G33</f>
        <v>220304</v>
      </c>
      <c r="F33" s="18">
        <f>実績データ!H33</f>
        <v>0.77290521599131079</v>
      </c>
      <c r="G33" s="8">
        <f>実績データ!I33</f>
        <v>83</v>
      </c>
      <c r="H33" s="8" t="str">
        <f t="shared" si="1"/>
        <v>2025-05</v>
      </c>
      <c r="I33" s="8" t="str">
        <f t="shared" si="2"/>
        <v>金</v>
      </c>
    </row>
    <row r="34" spans="1:9" x14ac:dyDescent="0.15">
      <c r="A34" s="16">
        <f>実績データ!A34</f>
        <v>45780</v>
      </c>
      <c r="B34" s="8" t="str">
        <f>実績データ!C34</f>
        <v>A駐車場 (新宿駅前)</v>
      </c>
      <c r="C34" s="8" t="str">
        <f t="shared" si="0"/>
        <v>A駐車場（新宿駅前）</v>
      </c>
      <c r="D34" s="8">
        <f>実績データ!F34</f>
        <v>187</v>
      </c>
      <c r="E34" s="17">
        <f>実績データ!G34</f>
        <v>235860</v>
      </c>
      <c r="F34" s="18">
        <f>実績データ!H34</f>
        <v>0.63830093051917114</v>
      </c>
      <c r="G34" s="8">
        <f>実績データ!I34</f>
        <v>69</v>
      </c>
      <c r="H34" s="8" t="str">
        <f t="shared" si="1"/>
        <v>2025-05</v>
      </c>
      <c r="I34" s="8" t="str">
        <f t="shared" si="2"/>
        <v>土</v>
      </c>
    </row>
    <row r="35" spans="1:9" x14ac:dyDescent="0.15">
      <c r="A35" s="16">
        <f>実績データ!A35</f>
        <v>45781</v>
      </c>
      <c r="B35" s="8" t="str">
        <f>実績データ!C35</f>
        <v>B駐車場（渋谷南）</v>
      </c>
      <c r="C35" s="8" t="str">
        <f t="shared" si="0"/>
        <v>B駐車場（渋谷南）</v>
      </c>
      <c r="D35" s="8">
        <f>実績データ!F35</f>
        <v>201</v>
      </c>
      <c r="E35" s="17">
        <f>実績データ!G35</f>
        <v>255565</v>
      </c>
      <c r="F35" s="18">
        <f>実績データ!H35</f>
        <v>0.74945844016474228</v>
      </c>
      <c r="G35" s="8">
        <f>実績データ!I35</f>
        <v>70</v>
      </c>
      <c r="H35" s="8" t="str">
        <f t="shared" si="1"/>
        <v>2025-05</v>
      </c>
      <c r="I35" s="8" t="str">
        <f t="shared" si="2"/>
        <v>日</v>
      </c>
    </row>
    <row r="36" spans="1:9" x14ac:dyDescent="0.15">
      <c r="A36" s="16">
        <f>実績データ!A36</f>
        <v>45782</v>
      </c>
      <c r="B36" s="8" t="str">
        <f>実績データ!C36</f>
        <v>A駐車場（新宿駅前）</v>
      </c>
      <c r="C36" s="8" t="str">
        <f t="shared" si="0"/>
        <v>A駐車場（新宿駅前）</v>
      </c>
      <c r="D36" s="8">
        <f>実績データ!F36</f>
        <v>203</v>
      </c>
      <c r="E36" s="17">
        <f>実績データ!G36</f>
        <v>251351</v>
      </c>
      <c r="F36" s="18">
        <f>実績データ!H36</f>
        <v>0.77300323161488516</v>
      </c>
      <c r="G36" s="8">
        <f>実績データ!I36</f>
        <v>90</v>
      </c>
      <c r="H36" s="8" t="str">
        <f t="shared" si="1"/>
        <v>2025-05</v>
      </c>
      <c r="I36" s="8" t="str">
        <f t="shared" si="2"/>
        <v>月</v>
      </c>
    </row>
    <row r="37" spans="1:9" x14ac:dyDescent="0.15">
      <c r="A37" s="16">
        <f>実績データ!A37</f>
        <v>45783</v>
      </c>
      <c r="B37" s="8" t="str">
        <f>実績データ!C37</f>
        <v>C駐車場 (池袋西口)</v>
      </c>
      <c r="C37" s="8" t="str">
        <f t="shared" si="0"/>
        <v>C駐車場（池袋西口）</v>
      </c>
      <c r="D37" s="8">
        <f>実績データ!F37</f>
        <v>156</v>
      </c>
      <c r="E37" s="17">
        <f>実績データ!G37</f>
        <v>204658</v>
      </c>
      <c r="F37" s="18">
        <f>実績データ!H37</f>
        <v>0.58614571117182368</v>
      </c>
      <c r="G37" s="8">
        <f>実績データ!I37</f>
        <v>57</v>
      </c>
      <c r="H37" s="8" t="str">
        <f t="shared" si="1"/>
        <v>2025-05</v>
      </c>
      <c r="I37" s="8" t="str">
        <f t="shared" si="2"/>
        <v>火</v>
      </c>
    </row>
    <row r="38" spans="1:9" x14ac:dyDescent="0.15">
      <c r="A38" s="16">
        <f>実績データ!A38</f>
        <v>45784</v>
      </c>
      <c r="B38" s="8" t="str">
        <f>実績データ!C38</f>
        <v xml:space="preserve"> A駐車場（新宿駅前）</v>
      </c>
      <c r="C38" s="8" t="str">
        <f t="shared" si="0"/>
        <v>A駐車場（新宿駅前）</v>
      </c>
      <c r="D38" s="8">
        <f>実績データ!F38</f>
        <v>201</v>
      </c>
      <c r="E38" s="17">
        <f>実績データ!G38</f>
        <v>242807</v>
      </c>
      <c r="F38" s="18">
        <f>実績データ!H38</f>
        <v>0.78553970526964323</v>
      </c>
      <c r="G38" s="8">
        <f>実績データ!I38</f>
        <v>74</v>
      </c>
      <c r="H38" s="8" t="str">
        <f t="shared" si="1"/>
        <v>2025-05</v>
      </c>
      <c r="I38" s="8" t="str">
        <f t="shared" si="2"/>
        <v>水</v>
      </c>
    </row>
    <row r="39" spans="1:9" x14ac:dyDescent="0.15">
      <c r="A39" s="16">
        <f>実績データ!A39</f>
        <v>45785</v>
      </c>
      <c r="B39" s="8" t="str">
        <f>実績データ!C39</f>
        <v xml:space="preserve">B駐車場（渋谷南） </v>
      </c>
      <c r="C39" s="8" t="str">
        <f t="shared" si="0"/>
        <v>B駐車場（渋谷南）</v>
      </c>
      <c r="D39" s="8">
        <f>実績データ!F39</f>
        <v>183</v>
      </c>
      <c r="E39" s="17">
        <f>実績データ!G39</f>
        <v>218989</v>
      </c>
      <c r="F39" s="18">
        <f>実績データ!H39</f>
        <v>0.68562590833052905</v>
      </c>
      <c r="G39" s="8">
        <f>実績データ!I39</f>
        <v>73</v>
      </c>
      <c r="H39" s="8" t="str">
        <f t="shared" si="1"/>
        <v>2025-05</v>
      </c>
      <c r="I39" s="8" t="str">
        <f t="shared" si="2"/>
        <v>木</v>
      </c>
    </row>
    <row r="40" spans="1:9" x14ac:dyDescent="0.15">
      <c r="A40" s="16">
        <f>実績データ!A40</f>
        <v>45786</v>
      </c>
      <c r="B40" s="8" t="str">
        <f>実績データ!C40</f>
        <v>A駐車場 (新宿駅前)</v>
      </c>
      <c r="C40" s="8" t="str">
        <f t="shared" si="0"/>
        <v>A駐車場（新宿駅前）</v>
      </c>
      <c r="D40" s="8">
        <f>実績データ!F40</f>
        <v>169</v>
      </c>
      <c r="E40" s="17">
        <f>実績データ!G40</f>
        <v>189320</v>
      </c>
      <c r="F40" s="18">
        <f>実績データ!H40</f>
        <v>0.68032908935168057</v>
      </c>
      <c r="G40" s="8">
        <f>実績データ!I40</f>
        <v>73</v>
      </c>
      <c r="H40" s="8" t="str">
        <f t="shared" si="1"/>
        <v>2025-05</v>
      </c>
      <c r="I40" s="8" t="str">
        <f t="shared" si="2"/>
        <v>金</v>
      </c>
    </row>
    <row r="41" spans="1:9" x14ac:dyDescent="0.15">
      <c r="A41" s="16">
        <f>実績データ!A41</f>
        <v>45787</v>
      </c>
      <c r="B41" s="8" t="str">
        <f>実績データ!C41</f>
        <v>B駐車場 (渋谷南)</v>
      </c>
      <c r="C41" s="8" t="str">
        <f t="shared" si="0"/>
        <v>B駐車場（渋谷南）</v>
      </c>
      <c r="D41" s="8">
        <f>実績データ!F41</f>
        <v>199</v>
      </c>
      <c r="E41" s="17">
        <f>実績データ!G41</f>
        <v>231582</v>
      </c>
      <c r="F41" s="18">
        <f>実績データ!H41</f>
        <v>0.76100049129768255</v>
      </c>
      <c r="G41" s="8">
        <f>実績データ!I41</f>
        <v>78</v>
      </c>
      <c r="H41" s="8" t="str">
        <f t="shared" si="1"/>
        <v>2025-05</v>
      </c>
      <c r="I41" s="8" t="str">
        <f t="shared" si="2"/>
        <v>土</v>
      </c>
    </row>
    <row r="42" spans="1:9" x14ac:dyDescent="0.15">
      <c r="A42" s="16">
        <f>実績データ!A42</f>
        <v>45788</v>
      </c>
      <c r="B42" s="8" t="str">
        <f>実績データ!C42</f>
        <v xml:space="preserve"> A駐車場（新宿駅前）</v>
      </c>
      <c r="C42" s="8" t="str">
        <f t="shared" si="0"/>
        <v>A駐車場（新宿駅前）</v>
      </c>
      <c r="D42" s="8">
        <f>実績データ!F42</f>
        <v>218</v>
      </c>
      <c r="E42" s="17">
        <f>実績データ!G42</f>
        <v>252287</v>
      </c>
      <c r="F42" s="18">
        <f>実績データ!H42</f>
        <v>0.84938016284571893</v>
      </c>
      <c r="G42" s="8">
        <f>実績データ!I42</f>
        <v>75</v>
      </c>
      <c r="H42" s="8" t="str">
        <f t="shared" si="1"/>
        <v>2025-05</v>
      </c>
      <c r="I42" s="8" t="str">
        <f t="shared" si="2"/>
        <v>日</v>
      </c>
    </row>
    <row r="43" spans="1:9" x14ac:dyDescent="0.15">
      <c r="A43" s="16">
        <f>実績データ!A43</f>
        <v>45789</v>
      </c>
      <c r="B43" s="8" t="str">
        <f>実績データ!C43</f>
        <v>C駐車場 (池袋西口)</v>
      </c>
      <c r="C43" s="8" t="str">
        <f t="shared" si="0"/>
        <v>C駐車場（池袋西口）</v>
      </c>
      <c r="D43" s="8">
        <f>実績データ!F43</f>
        <v>139</v>
      </c>
      <c r="E43" s="17">
        <f>実績データ!G43</f>
        <v>174217</v>
      </c>
      <c r="F43" s="18">
        <f>実績データ!H43</f>
        <v>0.5832623905394021</v>
      </c>
      <c r="G43" s="8">
        <f>実績データ!I43</f>
        <v>76</v>
      </c>
      <c r="H43" s="8" t="str">
        <f t="shared" si="1"/>
        <v>2025-05</v>
      </c>
      <c r="I43" s="8" t="str">
        <f t="shared" si="2"/>
        <v>月</v>
      </c>
    </row>
    <row r="44" spans="1:9" x14ac:dyDescent="0.15">
      <c r="A44" s="16">
        <f>実績データ!A44</f>
        <v>45790</v>
      </c>
      <c r="B44" s="8" t="str">
        <f>実績データ!C44</f>
        <v>B駐車場（渋谷南）</v>
      </c>
      <c r="C44" s="8" t="str">
        <f t="shared" si="0"/>
        <v>B駐車場（渋谷南）</v>
      </c>
      <c r="D44" s="8">
        <f>実績データ!F44</f>
        <v>217</v>
      </c>
      <c r="E44" s="17">
        <f>実績データ!G44</f>
        <v>244413</v>
      </c>
      <c r="F44" s="18">
        <f>実績データ!H44</f>
        <v>0.86154725884816041</v>
      </c>
      <c r="G44" s="8">
        <f>実績データ!I44</f>
        <v>62</v>
      </c>
      <c r="H44" s="8" t="str">
        <f t="shared" si="1"/>
        <v>2025-05</v>
      </c>
      <c r="I44" s="8" t="str">
        <f t="shared" si="2"/>
        <v>火</v>
      </c>
    </row>
    <row r="45" spans="1:9" x14ac:dyDescent="0.15">
      <c r="A45" s="16">
        <f>実績データ!A45</f>
        <v>45791</v>
      </c>
      <c r="B45" s="8" t="str">
        <f>実績データ!C45</f>
        <v xml:space="preserve">D駐車場（横浜元町） </v>
      </c>
      <c r="C45" s="8" t="str">
        <f t="shared" si="0"/>
        <v>D駐車場（横浜元町）</v>
      </c>
      <c r="D45" s="8">
        <f>実績データ!F45</f>
        <v>142</v>
      </c>
      <c r="E45" s="17">
        <f>実績データ!G45</f>
        <v>143446</v>
      </c>
      <c r="F45" s="18">
        <f>実績データ!H45</f>
        <v>0.55642523026496782</v>
      </c>
      <c r="G45" s="8">
        <f>実績データ!I45</f>
        <v>64</v>
      </c>
      <c r="H45" s="8" t="str">
        <f t="shared" si="1"/>
        <v>2025-05</v>
      </c>
      <c r="I45" s="8" t="str">
        <f t="shared" si="2"/>
        <v>水</v>
      </c>
    </row>
    <row r="46" spans="1:9" x14ac:dyDescent="0.15">
      <c r="A46" s="16">
        <f>実績データ!A46</f>
        <v>45792</v>
      </c>
      <c r="B46" s="8" t="str">
        <f>実績データ!C46</f>
        <v>D駐車場（横浜元町）</v>
      </c>
      <c r="C46" s="8" t="str">
        <f t="shared" si="0"/>
        <v>D駐車場（横浜元町）</v>
      </c>
      <c r="D46" s="8">
        <f>実績データ!F46</f>
        <v>136</v>
      </c>
      <c r="E46" s="17">
        <f>実績データ!G46</f>
        <v>180890</v>
      </c>
      <c r="F46" s="18">
        <f>実績データ!H46</f>
        <v>0.49413331261296362</v>
      </c>
      <c r="G46" s="8">
        <f>実績データ!I46</f>
        <v>71</v>
      </c>
      <c r="H46" s="8" t="str">
        <f t="shared" si="1"/>
        <v>2025-05</v>
      </c>
      <c r="I46" s="8" t="str">
        <f t="shared" si="2"/>
        <v>木</v>
      </c>
    </row>
    <row r="47" spans="1:9" x14ac:dyDescent="0.15">
      <c r="A47" s="16">
        <f>実績データ!A47</f>
        <v>45793</v>
      </c>
      <c r="B47" s="8" t="str">
        <f>実績データ!C47</f>
        <v>B駐車場 (渋谷南)</v>
      </c>
      <c r="C47" s="8" t="str">
        <f t="shared" si="0"/>
        <v>B駐車場（渋谷南）</v>
      </c>
      <c r="D47" s="8">
        <f>実績データ!F47</f>
        <v>172</v>
      </c>
      <c r="E47" s="17">
        <f>実績データ!G47</f>
        <v>219055</v>
      </c>
      <c r="F47" s="18">
        <f>実績データ!H47</f>
        <v>0.71619494955595098</v>
      </c>
      <c r="G47" s="8">
        <f>実績データ!I47</f>
        <v>83</v>
      </c>
      <c r="H47" s="8" t="str">
        <f t="shared" si="1"/>
        <v>2025-05</v>
      </c>
      <c r="I47" s="8" t="str">
        <f t="shared" si="2"/>
        <v>金</v>
      </c>
    </row>
    <row r="48" spans="1:9" x14ac:dyDescent="0.15">
      <c r="A48" s="16">
        <f>実績データ!A48</f>
        <v>45794</v>
      </c>
      <c r="B48" s="8" t="str">
        <f>実績データ!C48</f>
        <v>C駐車場（池袋西口）</v>
      </c>
      <c r="C48" s="8" t="str">
        <f t="shared" si="0"/>
        <v>C駐車場（池袋西口）</v>
      </c>
      <c r="D48" s="8">
        <f>実績データ!F48</f>
        <v>154</v>
      </c>
      <c r="E48" s="17">
        <f>実績データ!G48</f>
        <v>181046</v>
      </c>
      <c r="F48" s="18">
        <f>実績データ!H48</f>
        <v>0.61388202375129985</v>
      </c>
      <c r="G48" s="8">
        <f>実績データ!I48</f>
        <v>67</v>
      </c>
      <c r="H48" s="8" t="str">
        <f t="shared" si="1"/>
        <v>2025-05</v>
      </c>
      <c r="I48" s="8" t="str">
        <f t="shared" si="2"/>
        <v>土</v>
      </c>
    </row>
    <row r="49" spans="1:9" x14ac:dyDescent="0.15">
      <c r="A49" s="16">
        <f>実績データ!A49</f>
        <v>45795</v>
      </c>
      <c r="B49" s="8" t="str">
        <f>実績データ!C49</f>
        <v xml:space="preserve">D駐車場（横浜元町） </v>
      </c>
      <c r="C49" s="8" t="str">
        <f t="shared" si="0"/>
        <v>D駐車場（横浜元町）</v>
      </c>
      <c r="D49" s="8">
        <f>実績データ!F49</f>
        <v>122</v>
      </c>
      <c r="E49" s="17">
        <f>実績データ!G49</f>
        <v>160128</v>
      </c>
      <c r="F49" s="18">
        <f>実績データ!H49</f>
        <v>0.37634251966806148</v>
      </c>
      <c r="G49" s="8">
        <f>実績データ!I49</f>
        <v>78</v>
      </c>
      <c r="H49" s="8" t="str">
        <f t="shared" si="1"/>
        <v>2025-05</v>
      </c>
      <c r="I49" s="8" t="str">
        <f t="shared" si="2"/>
        <v>日</v>
      </c>
    </row>
    <row r="50" spans="1:9" x14ac:dyDescent="0.15">
      <c r="A50" s="16">
        <f>実績データ!A50</f>
        <v>45796</v>
      </c>
      <c r="B50" s="8" t="str">
        <f>実績データ!C50</f>
        <v xml:space="preserve"> C駐車場（池袋西口）</v>
      </c>
      <c r="C50" s="8" t="str">
        <f t="shared" si="0"/>
        <v>C駐車場（池袋西口）</v>
      </c>
      <c r="D50" s="8">
        <f>実績データ!F50</f>
        <v>153</v>
      </c>
      <c r="E50" s="17">
        <f>実績データ!G50</f>
        <v>185605</v>
      </c>
      <c r="F50" s="18">
        <f>実績データ!H50</f>
        <v>0.52552113738608974</v>
      </c>
      <c r="G50" s="8">
        <f>実績データ!I50</f>
        <v>66</v>
      </c>
      <c r="H50" s="8" t="str">
        <f t="shared" si="1"/>
        <v>2025-05</v>
      </c>
      <c r="I50" s="8" t="str">
        <f t="shared" si="2"/>
        <v>月</v>
      </c>
    </row>
    <row r="51" spans="1:9" x14ac:dyDescent="0.15">
      <c r="A51" s="16">
        <f>実績データ!A51</f>
        <v>45797</v>
      </c>
      <c r="B51" s="8" t="str">
        <f>実績データ!C51</f>
        <v>A駐車場 (新宿駅前)</v>
      </c>
      <c r="C51" s="8" t="str">
        <f t="shared" si="0"/>
        <v>A駐車場（新宿駅前）</v>
      </c>
      <c r="D51" s="8">
        <f>実績データ!F51</f>
        <v>227</v>
      </c>
      <c r="E51" s="17">
        <f>実績データ!G51</f>
        <v>268408</v>
      </c>
      <c r="F51" s="18">
        <f>実績データ!H51</f>
        <v>0.83613477161550498</v>
      </c>
      <c r="G51" s="8">
        <f>実績データ!I51</f>
        <v>63</v>
      </c>
      <c r="H51" s="8" t="str">
        <f t="shared" si="1"/>
        <v>2025-05</v>
      </c>
      <c r="I51" s="8" t="str">
        <f t="shared" si="2"/>
        <v>火</v>
      </c>
    </row>
    <row r="52" spans="1:9" x14ac:dyDescent="0.15">
      <c r="A52" s="16">
        <f>実績データ!A52</f>
        <v>45798</v>
      </c>
      <c r="B52" s="8" t="str">
        <f>実績データ!C52</f>
        <v xml:space="preserve"> C駐車場（池袋西口）</v>
      </c>
      <c r="C52" s="8" t="str">
        <f t="shared" si="0"/>
        <v>C駐車場（池袋西口）</v>
      </c>
      <c r="D52" s="8">
        <f>実績データ!F52</f>
        <v>126</v>
      </c>
      <c r="E52" s="17">
        <f>実績データ!G52</f>
        <v>140697</v>
      </c>
      <c r="F52" s="18">
        <f>実績データ!H52</f>
        <v>0.47012308824893778</v>
      </c>
      <c r="G52" s="8">
        <f>実績データ!I52</f>
        <v>58</v>
      </c>
      <c r="H52" s="8" t="str">
        <f t="shared" si="1"/>
        <v>2025-05</v>
      </c>
      <c r="I52" s="8" t="str">
        <f t="shared" si="2"/>
        <v>水</v>
      </c>
    </row>
    <row r="53" spans="1:9" x14ac:dyDescent="0.15">
      <c r="A53" s="16">
        <f>実績データ!A53</f>
        <v>45799</v>
      </c>
      <c r="B53" s="8" t="str">
        <f>実績データ!C53</f>
        <v>B駐車場（渋谷南）</v>
      </c>
      <c r="C53" s="8" t="str">
        <f t="shared" si="0"/>
        <v>B駐車場（渋谷南）</v>
      </c>
      <c r="D53" s="8">
        <f>実績データ!F53</f>
        <v>171</v>
      </c>
      <c r="E53" s="17">
        <f>実績データ!G53</f>
        <v>205300</v>
      </c>
      <c r="F53" s="18">
        <f>実績データ!H53</f>
        <v>0.65673983416444193</v>
      </c>
      <c r="G53" s="8">
        <f>実績データ!I53</f>
        <v>77</v>
      </c>
      <c r="H53" s="8" t="str">
        <f t="shared" si="1"/>
        <v>2025-05</v>
      </c>
      <c r="I53" s="8" t="str">
        <f t="shared" si="2"/>
        <v>木</v>
      </c>
    </row>
    <row r="54" spans="1:9" x14ac:dyDescent="0.15">
      <c r="A54" s="16">
        <f>実績データ!A54</f>
        <v>45800</v>
      </c>
      <c r="B54" s="8" t="str">
        <f>実績データ!C54</f>
        <v>C駐車場 (池袋西口)</v>
      </c>
      <c r="C54" s="8" t="str">
        <f t="shared" si="0"/>
        <v>C駐車場（池袋西口）</v>
      </c>
      <c r="D54" s="8">
        <f>実績データ!F54</f>
        <v>115</v>
      </c>
      <c r="E54" s="17">
        <f>実績データ!G54</f>
        <v>139679</v>
      </c>
      <c r="F54" s="18">
        <f>実績データ!H54</f>
        <v>0.45126709453191982</v>
      </c>
      <c r="G54" s="8">
        <f>実績データ!I54</f>
        <v>76</v>
      </c>
      <c r="H54" s="8" t="str">
        <f t="shared" si="1"/>
        <v>2025-05</v>
      </c>
      <c r="I54" s="8" t="str">
        <f t="shared" si="2"/>
        <v>金</v>
      </c>
    </row>
    <row r="55" spans="1:9" x14ac:dyDescent="0.15">
      <c r="A55" s="16">
        <f>実績データ!A55</f>
        <v>45801</v>
      </c>
      <c r="B55" s="8" t="str">
        <f>実績データ!C55</f>
        <v>C駐車場 (池袋西口)</v>
      </c>
      <c r="C55" s="8" t="str">
        <f t="shared" si="0"/>
        <v>C駐車場（池袋西口）</v>
      </c>
      <c r="D55" s="8">
        <f>実績データ!F55</f>
        <v>119</v>
      </c>
      <c r="E55" s="17">
        <f>実績データ!G55</f>
        <v>139963</v>
      </c>
      <c r="F55" s="18">
        <f>実績データ!H55</f>
        <v>0.42471592168515387</v>
      </c>
      <c r="G55" s="8">
        <f>実績データ!I55</f>
        <v>80</v>
      </c>
      <c r="H55" s="8" t="str">
        <f t="shared" si="1"/>
        <v>2025-05</v>
      </c>
      <c r="I55" s="8" t="str">
        <f t="shared" si="2"/>
        <v>土</v>
      </c>
    </row>
    <row r="56" spans="1:9" x14ac:dyDescent="0.15">
      <c r="A56" s="16">
        <f>実績データ!A56</f>
        <v>45802</v>
      </c>
      <c r="B56" s="8" t="str">
        <f>実績データ!C56</f>
        <v xml:space="preserve">B駐車場（渋谷南） </v>
      </c>
      <c r="C56" s="8" t="str">
        <f t="shared" si="0"/>
        <v>B駐車場（渋谷南）</v>
      </c>
      <c r="D56" s="8">
        <f>実績データ!F56</f>
        <v>200</v>
      </c>
      <c r="E56" s="17">
        <f>実績データ!G56</f>
        <v>241647</v>
      </c>
      <c r="F56" s="18">
        <f>実績データ!H56</f>
        <v>0.86562433379893233</v>
      </c>
      <c r="G56" s="8">
        <f>実績データ!I56</f>
        <v>84</v>
      </c>
      <c r="H56" s="8" t="str">
        <f t="shared" si="1"/>
        <v>2025-05</v>
      </c>
      <c r="I56" s="8" t="str">
        <f t="shared" si="2"/>
        <v>日</v>
      </c>
    </row>
    <row r="57" spans="1:9" x14ac:dyDescent="0.15">
      <c r="A57" s="16">
        <f>実績データ!A57</f>
        <v>45803</v>
      </c>
      <c r="B57" s="8" t="str">
        <f>実績データ!C57</f>
        <v>B駐車場（渋谷南）</v>
      </c>
      <c r="C57" s="8" t="str">
        <f t="shared" si="0"/>
        <v>B駐車場（渋谷南）</v>
      </c>
      <c r="D57" s="8">
        <f>実績データ!F57</f>
        <v>178</v>
      </c>
      <c r="E57" s="17">
        <f>実績データ!G57</f>
        <v>209140</v>
      </c>
      <c r="F57" s="18">
        <f>実績データ!H57</f>
        <v>0.66863979895836334</v>
      </c>
      <c r="G57" s="8">
        <f>実績データ!I57</f>
        <v>80</v>
      </c>
      <c r="H57" s="8" t="str">
        <f t="shared" si="1"/>
        <v>2025-05</v>
      </c>
      <c r="I57" s="8" t="str">
        <f t="shared" si="2"/>
        <v>月</v>
      </c>
    </row>
    <row r="58" spans="1:9" x14ac:dyDescent="0.15">
      <c r="A58" s="16">
        <f>実績データ!A58</f>
        <v>45804</v>
      </c>
      <c r="B58" s="8" t="str">
        <f>実績データ!C58</f>
        <v>B駐車場（渋谷南）</v>
      </c>
      <c r="C58" s="8" t="str">
        <f t="shared" si="0"/>
        <v>B駐車場（渋谷南）</v>
      </c>
      <c r="D58" s="8">
        <f>実績データ!F58</f>
        <v>202</v>
      </c>
      <c r="E58" s="17">
        <f>実績データ!G58</f>
        <v>277474</v>
      </c>
      <c r="F58" s="18">
        <f>実績データ!H58</f>
        <v>0.76575922514582506</v>
      </c>
      <c r="G58" s="8">
        <f>実績データ!I58</f>
        <v>77</v>
      </c>
      <c r="H58" s="8" t="str">
        <f t="shared" si="1"/>
        <v>2025-05</v>
      </c>
      <c r="I58" s="8" t="str">
        <f t="shared" si="2"/>
        <v>火</v>
      </c>
    </row>
    <row r="59" spans="1:9" x14ac:dyDescent="0.15">
      <c r="A59" s="16">
        <f>実績データ!A59</f>
        <v>45805</v>
      </c>
      <c r="B59" s="8" t="str">
        <f>実績データ!C59</f>
        <v>B駐車場 (渋谷南)</v>
      </c>
      <c r="C59" s="8" t="str">
        <f t="shared" si="0"/>
        <v>B駐車場（渋谷南）</v>
      </c>
      <c r="D59" s="8">
        <f>実績データ!F59</f>
        <v>189</v>
      </c>
      <c r="E59" s="17">
        <f>実績データ!G59</f>
        <v>217471</v>
      </c>
      <c r="F59" s="18">
        <f>実績データ!H59</f>
        <v>0.7738742010666636</v>
      </c>
      <c r="G59" s="8">
        <f>実績データ!I59</f>
        <v>77</v>
      </c>
      <c r="H59" s="8" t="str">
        <f t="shared" si="1"/>
        <v>2025-05</v>
      </c>
      <c r="I59" s="8" t="str">
        <f t="shared" si="2"/>
        <v>水</v>
      </c>
    </row>
    <row r="60" spans="1:9" x14ac:dyDescent="0.15">
      <c r="A60" s="16">
        <f>実績データ!A60</f>
        <v>45806</v>
      </c>
      <c r="B60" s="8" t="str">
        <f>実績データ!C60</f>
        <v>D駐車場 (横浜元町)</v>
      </c>
      <c r="C60" s="8" t="str">
        <f t="shared" si="0"/>
        <v>D駐車場（横浜元町）</v>
      </c>
      <c r="D60" s="8">
        <f>実績データ!F60</f>
        <v>151</v>
      </c>
      <c r="E60" s="17">
        <f>実績データ!G60</f>
        <v>164752</v>
      </c>
      <c r="F60" s="18">
        <f>実績データ!H60</f>
        <v>0.5540002704399789</v>
      </c>
      <c r="G60" s="8">
        <f>実績データ!I60</f>
        <v>70</v>
      </c>
      <c r="H60" s="8" t="str">
        <f t="shared" si="1"/>
        <v>2025-05</v>
      </c>
      <c r="I60" s="8" t="str">
        <f t="shared" si="2"/>
        <v>木</v>
      </c>
    </row>
    <row r="61" spans="1:9" x14ac:dyDescent="0.15">
      <c r="A61" s="16">
        <f>実績データ!A61</f>
        <v>45807</v>
      </c>
      <c r="B61" s="8" t="str">
        <f>実績データ!C61</f>
        <v xml:space="preserve">D駐車場（横浜元町） </v>
      </c>
      <c r="C61" s="8" t="str">
        <f t="shared" si="0"/>
        <v>D駐車場（横浜元町）</v>
      </c>
      <c r="D61" s="8">
        <f>実績データ!F61</f>
        <v>117</v>
      </c>
      <c r="E61" s="17">
        <f>実績データ!G61</f>
        <v>130016</v>
      </c>
      <c r="F61" s="18">
        <f>実績データ!H61</f>
        <v>0.47537647773959352</v>
      </c>
      <c r="G61" s="8">
        <f>実績データ!I61</f>
        <v>73</v>
      </c>
      <c r="H61" s="8" t="str">
        <f t="shared" si="1"/>
        <v>2025-05</v>
      </c>
      <c r="I61" s="8" t="str">
        <f t="shared" si="2"/>
        <v>金</v>
      </c>
    </row>
    <row r="62" spans="1:9" x14ac:dyDescent="0.15">
      <c r="A62" s="16">
        <f>実績データ!A62</f>
        <v>45808</v>
      </c>
      <c r="B62" s="8" t="str">
        <f>実績データ!C62</f>
        <v xml:space="preserve"> A駐車場（新宿駅前）</v>
      </c>
      <c r="C62" s="8" t="str">
        <f t="shared" si="0"/>
        <v>A駐車場（新宿駅前）</v>
      </c>
      <c r="D62" s="8">
        <f>実績データ!F62</f>
        <v>209</v>
      </c>
      <c r="E62" s="17">
        <f>実績データ!G62</f>
        <v>261628</v>
      </c>
      <c r="F62" s="18">
        <f>実績データ!H62</f>
        <v>0.78494449108253173</v>
      </c>
      <c r="G62" s="8">
        <f>実績データ!I62</f>
        <v>60</v>
      </c>
      <c r="H62" s="8" t="str">
        <f t="shared" si="1"/>
        <v>2025-05</v>
      </c>
      <c r="I62" s="8" t="str">
        <f t="shared" si="2"/>
        <v>土</v>
      </c>
    </row>
    <row r="63" spans="1:9" x14ac:dyDescent="0.15">
      <c r="A63" s="16">
        <f>実績データ!A63</f>
        <v>45809</v>
      </c>
      <c r="B63" s="8" t="str">
        <f>実績データ!C63</f>
        <v>C駐車場 (池袋西口)</v>
      </c>
      <c r="C63" s="8" t="str">
        <f t="shared" si="0"/>
        <v>C駐車場（池袋西口）</v>
      </c>
      <c r="D63" s="8">
        <f>実績データ!F63</f>
        <v>125</v>
      </c>
      <c r="E63" s="17">
        <f>実績データ!G63</f>
        <v>145458</v>
      </c>
      <c r="F63" s="18">
        <f>実績データ!H63</f>
        <v>0.49055852671367223</v>
      </c>
      <c r="G63" s="8">
        <f>実績データ!I63</f>
        <v>76</v>
      </c>
      <c r="H63" s="8" t="str">
        <f t="shared" si="1"/>
        <v>2025-06</v>
      </c>
      <c r="I63" s="8" t="str">
        <f t="shared" si="2"/>
        <v>日</v>
      </c>
    </row>
    <row r="64" spans="1:9" x14ac:dyDescent="0.15">
      <c r="A64" s="16">
        <f>実績データ!A64</f>
        <v>45810</v>
      </c>
      <c r="B64" s="8" t="str">
        <f>実績データ!C64</f>
        <v>D駐車場 (横浜元町)</v>
      </c>
      <c r="C64" s="8" t="str">
        <f t="shared" si="0"/>
        <v>D駐車場（横浜元町）</v>
      </c>
      <c r="D64" s="8">
        <f>実績データ!F64</f>
        <v>143</v>
      </c>
      <c r="E64" s="17">
        <f>実績データ!G64</f>
        <v>167723</v>
      </c>
      <c r="F64" s="18">
        <f>実績データ!H64</f>
        <v>0.55149758616291567</v>
      </c>
      <c r="G64" s="8">
        <f>実績データ!I64</f>
        <v>54</v>
      </c>
      <c r="H64" s="8" t="str">
        <f t="shared" si="1"/>
        <v>2025-06</v>
      </c>
      <c r="I64" s="8" t="str">
        <f t="shared" si="2"/>
        <v>月</v>
      </c>
    </row>
    <row r="65" spans="1:9" x14ac:dyDescent="0.15">
      <c r="A65" s="16">
        <f>実績データ!A65</f>
        <v>45811</v>
      </c>
      <c r="B65" s="8" t="str">
        <f>実績データ!C65</f>
        <v>D駐車場 (横浜元町)</v>
      </c>
      <c r="C65" s="8" t="str">
        <f t="shared" si="0"/>
        <v>D駐車場（横浜元町）</v>
      </c>
      <c r="D65" s="8">
        <f>実績データ!F65</f>
        <v>130</v>
      </c>
      <c r="E65" s="17">
        <f>実績データ!G65</f>
        <v>164703</v>
      </c>
      <c r="F65" s="18">
        <f>実績データ!H65</f>
        <v>0.53115565421351185</v>
      </c>
      <c r="G65" s="8">
        <f>実績データ!I65</f>
        <v>71</v>
      </c>
      <c r="H65" s="8" t="str">
        <f t="shared" si="1"/>
        <v>2025-06</v>
      </c>
      <c r="I65" s="8" t="str">
        <f t="shared" si="2"/>
        <v>火</v>
      </c>
    </row>
    <row r="66" spans="1:9" x14ac:dyDescent="0.15">
      <c r="A66" s="16">
        <f>実績データ!A66</f>
        <v>45812</v>
      </c>
      <c r="B66" s="8" t="str">
        <f>実績データ!C66</f>
        <v>D駐車場（横浜元町）</v>
      </c>
      <c r="C66" s="8" t="str">
        <f t="shared" ref="C66:C129" si="3">SUBSTITUTE(SUBSTITUTE(SUBSTITUTE(SUBSTITUTE(B66," ",""),"　",""),"(","（"),")","）")</f>
        <v>D駐車場（横浜元町）</v>
      </c>
      <c r="D66" s="8">
        <f>実績データ!F66</f>
        <v>170</v>
      </c>
      <c r="E66" s="17">
        <f>実績データ!G66</f>
        <v>182568</v>
      </c>
      <c r="F66" s="18">
        <f>実績データ!H66</f>
        <v>0.57932156540108237</v>
      </c>
      <c r="G66" s="8">
        <f>実績データ!I66</f>
        <v>66</v>
      </c>
      <c r="H66" s="8" t="str">
        <f t="shared" ref="H66:H129" si="4">TEXT(A66,"yyyy-mm")</f>
        <v>2025-06</v>
      </c>
      <c r="I66" s="8" t="str">
        <f t="shared" ref="I66:I129" si="5">TEXT(A66,"aaa")</f>
        <v>水</v>
      </c>
    </row>
    <row r="67" spans="1:9" x14ac:dyDescent="0.15">
      <c r="A67" s="16">
        <f>実績データ!A67</f>
        <v>45813</v>
      </c>
      <c r="B67" s="8" t="str">
        <f>実績データ!C67</f>
        <v xml:space="preserve">B駐車場（渋谷南） </v>
      </c>
      <c r="C67" s="8" t="str">
        <f t="shared" si="3"/>
        <v>B駐車場（渋谷南）</v>
      </c>
      <c r="D67" s="8">
        <f>実績データ!F67</f>
        <v>186</v>
      </c>
      <c r="E67" s="17">
        <f>実績データ!G67</f>
        <v>224997</v>
      </c>
      <c r="F67" s="18">
        <f>実績データ!H67</f>
        <v>0.71339694437319168</v>
      </c>
      <c r="G67" s="8">
        <f>実績データ!I67</f>
        <v>85</v>
      </c>
      <c r="H67" s="8" t="str">
        <f t="shared" si="4"/>
        <v>2025-06</v>
      </c>
      <c r="I67" s="8" t="str">
        <f t="shared" si="5"/>
        <v>木</v>
      </c>
    </row>
    <row r="68" spans="1:9" x14ac:dyDescent="0.15">
      <c r="A68" s="16">
        <f>実績データ!A68</f>
        <v>45814</v>
      </c>
      <c r="B68" s="8" t="str">
        <f>実績データ!C68</f>
        <v>D駐車場（横浜元町）</v>
      </c>
      <c r="C68" s="8" t="str">
        <f t="shared" si="3"/>
        <v>D駐車場（横浜元町）</v>
      </c>
      <c r="D68" s="8">
        <f>実績データ!F68</f>
        <v>118</v>
      </c>
      <c r="E68" s="17">
        <f>実績データ!G68</f>
        <v>167088</v>
      </c>
      <c r="F68" s="18">
        <f>実績データ!H68</f>
        <v>0.39532015891128391</v>
      </c>
      <c r="G68" s="8">
        <f>実績データ!I68</f>
        <v>77</v>
      </c>
      <c r="H68" s="8" t="str">
        <f t="shared" si="4"/>
        <v>2025-06</v>
      </c>
      <c r="I68" s="8" t="str">
        <f t="shared" si="5"/>
        <v>金</v>
      </c>
    </row>
    <row r="69" spans="1:9" x14ac:dyDescent="0.15">
      <c r="A69" s="16">
        <f>実績データ!A69</f>
        <v>45815</v>
      </c>
      <c r="B69" s="8" t="str">
        <f>実績データ!C69</f>
        <v>C駐車場（池袋西口）</v>
      </c>
      <c r="C69" s="8" t="str">
        <f t="shared" si="3"/>
        <v>C駐車場（池袋西口）</v>
      </c>
      <c r="D69" s="8">
        <f>実績データ!F69</f>
        <v>142</v>
      </c>
      <c r="E69" s="17">
        <f>実績データ!G69</f>
        <v>173445</v>
      </c>
      <c r="F69" s="18">
        <f>実績データ!H69</f>
        <v>0.55582823656550195</v>
      </c>
      <c r="G69" s="8">
        <f>実績データ!I69</f>
        <v>67</v>
      </c>
      <c r="H69" s="8" t="str">
        <f t="shared" si="4"/>
        <v>2025-06</v>
      </c>
      <c r="I69" s="8" t="str">
        <f t="shared" si="5"/>
        <v>土</v>
      </c>
    </row>
    <row r="70" spans="1:9" x14ac:dyDescent="0.15">
      <c r="A70" s="16">
        <f>実績データ!A70</f>
        <v>45816</v>
      </c>
      <c r="B70" s="8" t="str">
        <f>実績データ!C70</f>
        <v xml:space="preserve"> A駐車場（新宿駅前）</v>
      </c>
      <c r="C70" s="8" t="str">
        <f t="shared" si="3"/>
        <v>A駐車場（新宿駅前）</v>
      </c>
      <c r="D70" s="8">
        <f>実績データ!F70</f>
        <v>188</v>
      </c>
      <c r="E70" s="17">
        <f>実績データ!G70</f>
        <v>223241</v>
      </c>
      <c r="F70" s="18">
        <f>実績データ!H70</f>
        <v>0.70606271890735217</v>
      </c>
      <c r="G70" s="8">
        <f>実績データ!I70</f>
        <v>72</v>
      </c>
      <c r="H70" s="8" t="str">
        <f t="shared" si="4"/>
        <v>2025-06</v>
      </c>
      <c r="I70" s="8" t="str">
        <f t="shared" si="5"/>
        <v>日</v>
      </c>
    </row>
    <row r="71" spans="1:9" x14ac:dyDescent="0.15">
      <c r="A71" s="16">
        <f>実績データ!A71</f>
        <v>45817</v>
      </c>
      <c r="B71" s="8" t="str">
        <f>実績データ!C71</f>
        <v xml:space="preserve"> C駐車場（池袋西口）</v>
      </c>
      <c r="C71" s="8" t="str">
        <f t="shared" si="3"/>
        <v>C駐車場（池袋西口）</v>
      </c>
      <c r="D71" s="8">
        <f>実績データ!F71</f>
        <v>142</v>
      </c>
      <c r="E71" s="17">
        <f>実績データ!G71</f>
        <v>183245</v>
      </c>
      <c r="F71" s="18">
        <f>実績データ!H71</f>
        <v>0.54592885245924916</v>
      </c>
      <c r="G71" s="8">
        <f>実績データ!I71</f>
        <v>64</v>
      </c>
      <c r="H71" s="8" t="str">
        <f t="shared" si="4"/>
        <v>2025-06</v>
      </c>
      <c r="I71" s="8" t="str">
        <f t="shared" si="5"/>
        <v>月</v>
      </c>
    </row>
    <row r="72" spans="1:9" x14ac:dyDescent="0.15">
      <c r="A72" s="16">
        <f>実績データ!A72</f>
        <v>45818</v>
      </c>
      <c r="B72" s="8" t="str">
        <f>実績データ!C72</f>
        <v>A駐車場（新宿駅前）</v>
      </c>
      <c r="C72" s="8" t="str">
        <f t="shared" si="3"/>
        <v>A駐車場（新宿駅前）</v>
      </c>
      <c r="D72" s="8">
        <f>実績データ!F72</f>
        <v>203</v>
      </c>
      <c r="E72" s="17">
        <f>実績データ!G72</f>
        <v>240869</v>
      </c>
      <c r="F72" s="18">
        <f>実績データ!H72</f>
        <v>0.8092077118852683</v>
      </c>
      <c r="G72" s="8">
        <f>実績データ!I72</f>
        <v>67</v>
      </c>
      <c r="H72" s="8" t="str">
        <f t="shared" si="4"/>
        <v>2025-06</v>
      </c>
      <c r="I72" s="8" t="str">
        <f t="shared" si="5"/>
        <v>火</v>
      </c>
    </row>
    <row r="73" spans="1:9" x14ac:dyDescent="0.15">
      <c r="A73" s="16">
        <f>実績データ!A73</f>
        <v>45819</v>
      </c>
      <c r="B73" s="8" t="str">
        <f>実績データ!C73</f>
        <v xml:space="preserve"> A駐車場（新宿駅前）</v>
      </c>
      <c r="C73" s="8" t="str">
        <f t="shared" si="3"/>
        <v>A駐車場（新宿駅前）</v>
      </c>
      <c r="D73" s="8">
        <f>実績データ!F73</f>
        <v>177</v>
      </c>
      <c r="E73" s="17">
        <f>実績データ!G73</f>
        <v>206327</v>
      </c>
      <c r="F73" s="18">
        <f>実績データ!H73</f>
        <v>0.65534403697486809</v>
      </c>
      <c r="G73" s="8">
        <f>実績データ!I73</f>
        <v>58</v>
      </c>
      <c r="H73" s="8" t="str">
        <f t="shared" si="4"/>
        <v>2025-06</v>
      </c>
      <c r="I73" s="8" t="str">
        <f t="shared" si="5"/>
        <v>水</v>
      </c>
    </row>
    <row r="74" spans="1:9" x14ac:dyDescent="0.15">
      <c r="A74" s="16">
        <f>実績データ!A74</f>
        <v>45820</v>
      </c>
      <c r="B74" s="8" t="str">
        <f>実績データ!C74</f>
        <v>C駐車場（池袋西口）</v>
      </c>
      <c r="C74" s="8" t="str">
        <f t="shared" si="3"/>
        <v>C駐車場（池袋西口）</v>
      </c>
      <c r="D74" s="8">
        <f>実績データ!F74</f>
        <v>153</v>
      </c>
      <c r="E74" s="17">
        <f>実績データ!G74</f>
        <v>189345</v>
      </c>
      <c r="F74" s="18">
        <f>実績データ!H74</f>
        <v>0.62488147681371842</v>
      </c>
      <c r="G74" s="8">
        <f>実績データ!I74</f>
        <v>68</v>
      </c>
      <c r="H74" s="8" t="str">
        <f t="shared" si="4"/>
        <v>2025-06</v>
      </c>
      <c r="I74" s="8" t="str">
        <f t="shared" si="5"/>
        <v>木</v>
      </c>
    </row>
    <row r="75" spans="1:9" x14ac:dyDescent="0.15">
      <c r="A75" s="16">
        <f>実績データ!A75</f>
        <v>45821</v>
      </c>
      <c r="B75" s="8" t="str">
        <f>実績データ!C75</f>
        <v>C駐車場 (池袋西口)</v>
      </c>
      <c r="C75" s="8" t="str">
        <f t="shared" si="3"/>
        <v>C駐車場（池袋西口）</v>
      </c>
      <c r="D75" s="8">
        <f>実績データ!F75</f>
        <v>107</v>
      </c>
      <c r="E75" s="17">
        <f>実績データ!G75</f>
        <v>110366</v>
      </c>
      <c r="F75" s="18">
        <f>実績データ!H75</f>
        <v>0.40161869666388023</v>
      </c>
      <c r="G75" s="8">
        <f>実績データ!I75</f>
        <v>59</v>
      </c>
      <c r="H75" s="8" t="str">
        <f t="shared" si="4"/>
        <v>2025-06</v>
      </c>
      <c r="I75" s="8" t="str">
        <f t="shared" si="5"/>
        <v>金</v>
      </c>
    </row>
    <row r="76" spans="1:9" x14ac:dyDescent="0.15">
      <c r="A76" s="16">
        <f>実績データ!A76</f>
        <v>45822</v>
      </c>
      <c r="B76" s="8" t="str">
        <f>実績データ!C76</f>
        <v xml:space="preserve">D駐車場（横浜元町） </v>
      </c>
      <c r="C76" s="8" t="str">
        <f t="shared" si="3"/>
        <v>D駐車場（横浜元町）</v>
      </c>
      <c r="D76" s="8">
        <f>実績データ!F76</f>
        <v>107</v>
      </c>
      <c r="E76" s="17">
        <f>実績データ!G76</f>
        <v>132848</v>
      </c>
      <c r="F76" s="18">
        <f>実績データ!H76</f>
        <v>0.40365228991481111</v>
      </c>
      <c r="G76" s="8">
        <f>実績データ!I76</f>
        <v>85</v>
      </c>
      <c r="H76" s="8" t="str">
        <f t="shared" si="4"/>
        <v>2025-06</v>
      </c>
      <c r="I76" s="8" t="str">
        <f t="shared" si="5"/>
        <v>土</v>
      </c>
    </row>
    <row r="77" spans="1:9" x14ac:dyDescent="0.15">
      <c r="A77" s="16">
        <f>実績データ!A77</f>
        <v>45823</v>
      </c>
      <c r="B77" s="8" t="str">
        <f>実績データ!C77</f>
        <v xml:space="preserve">B駐車場（渋谷南） </v>
      </c>
      <c r="C77" s="8" t="str">
        <f t="shared" si="3"/>
        <v>B駐車場（渋谷南）</v>
      </c>
      <c r="D77" s="8">
        <f>実績データ!F77</f>
        <v>189</v>
      </c>
      <c r="E77" s="17">
        <f>実績データ!G77</f>
        <v>218772</v>
      </c>
      <c r="F77" s="18">
        <f>実績データ!H77</f>
        <v>0.71133797968952861</v>
      </c>
      <c r="G77" s="8">
        <f>実績データ!I77</f>
        <v>71</v>
      </c>
      <c r="H77" s="8" t="str">
        <f t="shared" si="4"/>
        <v>2025-06</v>
      </c>
      <c r="I77" s="8" t="str">
        <f t="shared" si="5"/>
        <v>日</v>
      </c>
    </row>
    <row r="78" spans="1:9" x14ac:dyDescent="0.15">
      <c r="A78" s="16">
        <f>実績データ!A78</f>
        <v>45824</v>
      </c>
      <c r="B78" s="8" t="str">
        <f>実績データ!C78</f>
        <v>D駐車場 (横浜元町)</v>
      </c>
      <c r="C78" s="8" t="str">
        <f t="shared" si="3"/>
        <v>D駐車場（横浜元町）</v>
      </c>
      <c r="D78" s="8">
        <f>実績データ!F78</f>
        <v>131</v>
      </c>
      <c r="E78" s="17">
        <f>実績データ!G78</f>
        <v>174122</v>
      </c>
      <c r="F78" s="18">
        <f>実績データ!H78</f>
        <v>0.465073170305773</v>
      </c>
      <c r="G78" s="8">
        <f>実績データ!I78</f>
        <v>83</v>
      </c>
      <c r="H78" s="8" t="str">
        <f t="shared" si="4"/>
        <v>2025-06</v>
      </c>
      <c r="I78" s="8" t="str">
        <f t="shared" si="5"/>
        <v>月</v>
      </c>
    </row>
    <row r="79" spans="1:9" x14ac:dyDescent="0.15">
      <c r="A79" s="16">
        <f>実績データ!A79</f>
        <v>45825</v>
      </c>
      <c r="B79" s="8" t="str">
        <f>実績データ!C79</f>
        <v>B駐車場 (渋谷南)</v>
      </c>
      <c r="C79" s="8" t="str">
        <f t="shared" si="3"/>
        <v>B駐車場（渋谷南）</v>
      </c>
      <c r="D79" s="8">
        <f>実績データ!F79</f>
        <v>199</v>
      </c>
      <c r="E79" s="17">
        <f>実績データ!G79</f>
        <v>256571</v>
      </c>
      <c r="F79" s="18">
        <f>実績データ!H79</f>
        <v>0.70656379650822498</v>
      </c>
      <c r="G79" s="8">
        <f>実績データ!I79</f>
        <v>78</v>
      </c>
      <c r="H79" s="8" t="str">
        <f t="shared" si="4"/>
        <v>2025-06</v>
      </c>
      <c r="I79" s="8" t="str">
        <f t="shared" si="5"/>
        <v>火</v>
      </c>
    </row>
    <row r="80" spans="1:9" x14ac:dyDescent="0.15">
      <c r="A80" s="16">
        <f>実績データ!A80</f>
        <v>45826</v>
      </c>
      <c r="B80" s="8" t="str">
        <f>実績データ!C80</f>
        <v>D駐車場 (横浜元町)</v>
      </c>
      <c r="C80" s="8" t="str">
        <f t="shared" si="3"/>
        <v>D駐車場（横浜元町）</v>
      </c>
      <c r="D80" s="8">
        <f>実績データ!F80</f>
        <v>125</v>
      </c>
      <c r="E80" s="17">
        <f>実績データ!G80</f>
        <v>141138</v>
      </c>
      <c r="F80" s="18">
        <f>実績データ!H80</f>
        <v>0.4903018048648386</v>
      </c>
      <c r="G80" s="8">
        <f>実績データ!I80</f>
        <v>82</v>
      </c>
      <c r="H80" s="8" t="str">
        <f t="shared" si="4"/>
        <v>2025-06</v>
      </c>
      <c r="I80" s="8" t="str">
        <f t="shared" si="5"/>
        <v>水</v>
      </c>
    </row>
    <row r="81" spans="1:9" x14ac:dyDescent="0.15">
      <c r="A81" s="16">
        <f>実績データ!A81</f>
        <v>45827</v>
      </c>
      <c r="B81" s="8" t="str">
        <f>実績データ!C81</f>
        <v>D駐車場 (横浜元町)</v>
      </c>
      <c r="C81" s="8" t="str">
        <f t="shared" si="3"/>
        <v>D駐車場（横浜元町）</v>
      </c>
      <c r="D81" s="8">
        <f>実績データ!F81</f>
        <v>107</v>
      </c>
      <c r="E81" s="17">
        <f>実績データ!G81</f>
        <v>121558</v>
      </c>
      <c r="F81" s="18">
        <f>実績データ!H81</f>
        <v>0.45578303861876363</v>
      </c>
      <c r="G81" s="8">
        <f>実績データ!I81</f>
        <v>69</v>
      </c>
      <c r="H81" s="8" t="str">
        <f t="shared" si="4"/>
        <v>2025-06</v>
      </c>
      <c r="I81" s="8" t="str">
        <f t="shared" si="5"/>
        <v>木</v>
      </c>
    </row>
    <row r="82" spans="1:9" x14ac:dyDescent="0.15">
      <c r="A82" s="16">
        <f>実績データ!A82</f>
        <v>45828</v>
      </c>
      <c r="B82" s="8" t="str">
        <f>実績データ!C82</f>
        <v>C駐車場（池袋西口）</v>
      </c>
      <c r="C82" s="8" t="str">
        <f t="shared" si="3"/>
        <v>C駐車場（池袋西口）</v>
      </c>
      <c r="D82" s="8">
        <f>実績データ!F82</f>
        <v>123</v>
      </c>
      <c r="E82" s="17">
        <f>実績データ!G82</f>
        <v>154513</v>
      </c>
      <c r="F82" s="18">
        <f>実績データ!H82</f>
        <v>0.46760775988203462</v>
      </c>
      <c r="G82" s="8">
        <f>実績データ!I82</f>
        <v>61</v>
      </c>
      <c r="H82" s="8" t="str">
        <f t="shared" si="4"/>
        <v>2025-06</v>
      </c>
      <c r="I82" s="8" t="str">
        <f t="shared" si="5"/>
        <v>金</v>
      </c>
    </row>
    <row r="83" spans="1:9" x14ac:dyDescent="0.15">
      <c r="A83" s="16">
        <f>実績データ!A83</f>
        <v>45829</v>
      </c>
      <c r="B83" s="8" t="str">
        <f>実績データ!C83</f>
        <v>D駐車場（横浜元町）</v>
      </c>
      <c r="C83" s="8" t="str">
        <f t="shared" si="3"/>
        <v>D駐車場（横浜元町）</v>
      </c>
      <c r="D83" s="8">
        <f>実績データ!F83</f>
        <v>128</v>
      </c>
      <c r="E83" s="17">
        <f>実績データ!G83</f>
        <v>165553</v>
      </c>
      <c r="F83" s="18">
        <f>実績データ!H83</f>
        <v>0.49533123344185392</v>
      </c>
      <c r="G83" s="8">
        <f>実績データ!I83</f>
        <v>59</v>
      </c>
      <c r="H83" s="8" t="str">
        <f t="shared" si="4"/>
        <v>2025-06</v>
      </c>
      <c r="I83" s="8" t="str">
        <f t="shared" si="5"/>
        <v>土</v>
      </c>
    </row>
    <row r="84" spans="1:9" x14ac:dyDescent="0.15">
      <c r="A84" s="16">
        <f>実績データ!A84</f>
        <v>45830</v>
      </c>
      <c r="B84" s="8" t="str">
        <f>実績データ!C84</f>
        <v>B駐車場（渋谷南）</v>
      </c>
      <c r="C84" s="8" t="str">
        <f t="shared" si="3"/>
        <v>B駐車場（渋谷南）</v>
      </c>
      <c r="D84" s="8">
        <f>実績データ!F84</f>
        <v>177</v>
      </c>
      <c r="E84" s="17">
        <f>実績データ!G84</f>
        <v>227288</v>
      </c>
      <c r="F84" s="18">
        <f>実績データ!H84</f>
        <v>0.67602146255898188</v>
      </c>
      <c r="G84" s="8">
        <f>実績データ!I84</f>
        <v>73</v>
      </c>
      <c r="H84" s="8" t="str">
        <f t="shared" si="4"/>
        <v>2025-06</v>
      </c>
      <c r="I84" s="8" t="str">
        <f t="shared" si="5"/>
        <v>日</v>
      </c>
    </row>
    <row r="85" spans="1:9" x14ac:dyDescent="0.15">
      <c r="A85" s="16">
        <f>実績データ!A85</f>
        <v>45831</v>
      </c>
      <c r="B85" s="8" t="str">
        <f>実績データ!C85</f>
        <v xml:space="preserve">B駐車場（渋谷南） </v>
      </c>
      <c r="C85" s="8" t="str">
        <f t="shared" si="3"/>
        <v>B駐車場（渋谷南）</v>
      </c>
      <c r="D85" s="8">
        <f>実績データ!F85</f>
        <v>153</v>
      </c>
      <c r="E85" s="17">
        <f>実績データ!G85</f>
        <v>174434</v>
      </c>
      <c r="F85" s="18">
        <f>実績データ!H85</f>
        <v>0.59285697086641254</v>
      </c>
      <c r="G85" s="8">
        <f>実績データ!I85</f>
        <v>78</v>
      </c>
      <c r="H85" s="8" t="str">
        <f t="shared" si="4"/>
        <v>2025-06</v>
      </c>
      <c r="I85" s="8" t="str">
        <f t="shared" si="5"/>
        <v>月</v>
      </c>
    </row>
    <row r="86" spans="1:9" x14ac:dyDescent="0.15">
      <c r="A86" s="16">
        <f>実績データ!A86</f>
        <v>45832</v>
      </c>
      <c r="B86" s="8" t="str">
        <f>実績データ!C86</f>
        <v>D駐車場（横浜元町）</v>
      </c>
      <c r="C86" s="8" t="str">
        <f t="shared" si="3"/>
        <v>D駐車場（横浜元町）</v>
      </c>
      <c r="D86" s="8">
        <f>実績データ!F86</f>
        <v>96</v>
      </c>
      <c r="E86" s="17">
        <f>実績データ!G86</f>
        <v>138536</v>
      </c>
      <c r="F86" s="18">
        <f>実績データ!H86</f>
        <v>0.36814663591087088</v>
      </c>
      <c r="G86" s="8">
        <f>実績データ!I86</f>
        <v>85</v>
      </c>
      <c r="H86" s="8" t="str">
        <f t="shared" si="4"/>
        <v>2025-06</v>
      </c>
      <c r="I86" s="8" t="str">
        <f t="shared" si="5"/>
        <v>火</v>
      </c>
    </row>
    <row r="87" spans="1:9" x14ac:dyDescent="0.15">
      <c r="A87" s="16">
        <f>実績データ!A87</f>
        <v>45833</v>
      </c>
      <c r="B87" s="8" t="str">
        <f>実績データ!C87</f>
        <v>D駐車場（横浜元町）</v>
      </c>
      <c r="C87" s="8" t="str">
        <f t="shared" si="3"/>
        <v>D駐車場（横浜元町）</v>
      </c>
      <c r="D87" s="8">
        <f>実績データ!F87</f>
        <v>144</v>
      </c>
      <c r="E87" s="17">
        <f>実績データ!G87</f>
        <v>176069</v>
      </c>
      <c r="F87" s="18">
        <f>実績データ!H87</f>
        <v>0.57262431063351715</v>
      </c>
      <c r="G87" s="8">
        <f>実績データ!I87</f>
        <v>71</v>
      </c>
      <c r="H87" s="8" t="str">
        <f t="shared" si="4"/>
        <v>2025-06</v>
      </c>
      <c r="I87" s="8" t="str">
        <f t="shared" si="5"/>
        <v>水</v>
      </c>
    </row>
    <row r="88" spans="1:9" x14ac:dyDescent="0.15">
      <c r="A88" s="16">
        <f>実績データ!A88</f>
        <v>45834</v>
      </c>
      <c r="B88" s="8" t="str">
        <f>実績データ!C88</f>
        <v xml:space="preserve"> A駐車場（新宿駅前）</v>
      </c>
      <c r="C88" s="8" t="str">
        <f t="shared" si="3"/>
        <v>A駐車場（新宿駅前）</v>
      </c>
      <c r="D88" s="8">
        <f>実績データ!F88</f>
        <v>159</v>
      </c>
      <c r="E88" s="17">
        <f>実績データ!G88</f>
        <v>189537</v>
      </c>
      <c r="F88" s="18">
        <f>実績データ!H88</f>
        <v>0.57154993597962933</v>
      </c>
      <c r="G88" s="8">
        <f>実績データ!I88</f>
        <v>65</v>
      </c>
      <c r="H88" s="8" t="str">
        <f t="shared" si="4"/>
        <v>2025-06</v>
      </c>
      <c r="I88" s="8" t="str">
        <f t="shared" si="5"/>
        <v>木</v>
      </c>
    </row>
    <row r="89" spans="1:9" x14ac:dyDescent="0.15">
      <c r="A89" s="16">
        <f>実績データ!A89</f>
        <v>45835</v>
      </c>
      <c r="B89" s="8" t="str">
        <f>実績データ!C89</f>
        <v>C駐車場（池袋西口）</v>
      </c>
      <c r="C89" s="8" t="str">
        <f t="shared" si="3"/>
        <v>C駐車場（池袋西口）</v>
      </c>
      <c r="D89" s="8">
        <f>実績データ!F89</f>
        <v>161</v>
      </c>
      <c r="E89" s="17">
        <f>実績データ!G89</f>
        <v>163544</v>
      </c>
      <c r="F89" s="18">
        <f>実績データ!H89</f>
        <v>0.6026054816217935</v>
      </c>
      <c r="G89" s="8">
        <f>実績データ!I89</f>
        <v>78</v>
      </c>
      <c r="H89" s="8" t="str">
        <f t="shared" si="4"/>
        <v>2025-06</v>
      </c>
      <c r="I89" s="8" t="str">
        <f t="shared" si="5"/>
        <v>金</v>
      </c>
    </row>
    <row r="90" spans="1:9" x14ac:dyDescent="0.15">
      <c r="A90" s="16">
        <f>実績データ!A90</f>
        <v>45836</v>
      </c>
      <c r="B90" s="8" t="str">
        <f>実績データ!C90</f>
        <v xml:space="preserve"> C駐車場（池袋西口）</v>
      </c>
      <c r="C90" s="8" t="str">
        <f t="shared" si="3"/>
        <v>C駐車場（池袋西口）</v>
      </c>
      <c r="D90" s="8">
        <f>実績データ!F90</f>
        <v>130</v>
      </c>
      <c r="E90" s="17">
        <f>実績データ!G90</f>
        <v>148767</v>
      </c>
      <c r="F90" s="18">
        <f>実績データ!H90</f>
        <v>0.50636885404990317</v>
      </c>
      <c r="G90" s="8">
        <f>実績データ!I90</f>
        <v>70</v>
      </c>
      <c r="H90" s="8" t="str">
        <f t="shared" si="4"/>
        <v>2025-06</v>
      </c>
      <c r="I90" s="8" t="str">
        <f t="shared" si="5"/>
        <v>土</v>
      </c>
    </row>
    <row r="91" spans="1:9" x14ac:dyDescent="0.15">
      <c r="A91" s="16">
        <f>実績データ!A91</f>
        <v>45837</v>
      </c>
      <c r="B91" s="8" t="str">
        <f>実績データ!C91</f>
        <v>D駐車場（横浜元町）</v>
      </c>
      <c r="C91" s="8" t="str">
        <f t="shared" si="3"/>
        <v>D駐車場（横浜元町）</v>
      </c>
      <c r="D91" s="8">
        <f>実績データ!F91</f>
        <v>126</v>
      </c>
      <c r="E91" s="17">
        <f>実績データ!G91</f>
        <v>155836</v>
      </c>
      <c r="F91" s="18">
        <f>実績データ!H91</f>
        <v>0.47004483908569827</v>
      </c>
      <c r="G91" s="8">
        <f>実績データ!I91</f>
        <v>57</v>
      </c>
      <c r="H91" s="8" t="str">
        <f t="shared" si="4"/>
        <v>2025-06</v>
      </c>
      <c r="I91" s="8" t="str">
        <f t="shared" si="5"/>
        <v>日</v>
      </c>
    </row>
    <row r="92" spans="1:9" x14ac:dyDescent="0.15">
      <c r="A92" s="16">
        <f>実績データ!A92</f>
        <v>45838</v>
      </c>
      <c r="B92" s="8" t="str">
        <f>実績データ!C92</f>
        <v>C駐車場（池袋西口）</v>
      </c>
      <c r="C92" s="8" t="str">
        <f t="shared" si="3"/>
        <v>C駐車場（池袋西口）</v>
      </c>
      <c r="D92" s="8">
        <f>実績データ!F92</f>
        <v>131</v>
      </c>
      <c r="E92" s="17">
        <f>実績データ!G92</f>
        <v>139554</v>
      </c>
      <c r="F92" s="18">
        <f>実績データ!H92</f>
        <v>0.46067332037971359</v>
      </c>
      <c r="G92" s="8">
        <f>実績データ!I92</f>
        <v>52</v>
      </c>
      <c r="H92" s="8" t="str">
        <f t="shared" si="4"/>
        <v>2025-06</v>
      </c>
      <c r="I92" s="8" t="str">
        <f t="shared" si="5"/>
        <v>月</v>
      </c>
    </row>
    <row r="93" spans="1:9" x14ac:dyDescent="0.15">
      <c r="A93" s="16">
        <f>実績データ!A93</f>
        <v>45839</v>
      </c>
      <c r="B93" s="8" t="str">
        <f>実績データ!C93</f>
        <v>B駐車場 (渋谷南)</v>
      </c>
      <c r="C93" s="8" t="str">
        <f t="shared" si="3"/>
        <v>B駐車場（渋谷南）</v>
      </c>
      <c r="D93" s="8">
        <f>実績データ!F93</f>
        <v>198</v>
      </c>
      <c r="E93" s="17">
        <f>実績データ!G93</f>
        <v>233293</v>
      </c>
      <c r="F93" s="18">
        <f>実績データ!H93</f>
        <v>0.78053485503390163</v>
      </c>
      <c r="G93" s="8">
        <f>実績データ!I93</f>
        <v>80</v>
      </c>
      <c r="H93" s="8" t="str">
        <f t="shared" si="4"/>
        <v>2025-07</v>
      </c>
      <c r="I93" s="8" t="str">
        <f t="shared" si="5"/>
        <v>火</v>
      </c>
    </row>
    <row r="94" spans="1:9" x14ac:dyDescent="0.15">
      <c r="A94" s="16">
        <f>実績データ!A94</f>
        <v>45840</v>
      </c>
      <c r="B94" s="8" t="str">
        <f>実績データ!C94</f>
        <v xml:space="preserve">D駐車場（横浜元町） </v>
      </c>
      <c r="C94" s="8" t="str">
        <f t="shared" si="3"/>
        <v>D駐車場（横浜元町）</v>
      </c>
      <c r="D94" s="8">
        <f>実績データ!F94</f>
        <v>139</v>
      </c>
      <c r="E94" s="17">
        <f>実績データ!G94</f>
        <v>175540</v>
      </c>
      <c r="F94" s="18">
        <f>実績データ!H94</f>
        <v>0.50861943056536629</v>
      </c>
      <c r="G94" s="8">
        <f>実績データ!I94</f>
        <v>51</v>
      </c>
      <c r="H94" s="8" t="str">
        <f t="shared" si="4"/>
        <v>2025-07</v>
      </c>
      <c r="I94" s="8" t="str">
        <f t="shared" si="5"/>
        <v>水</v>
      </c>
    </row>
    <row r="95" spans="1:9" x14ac:dyDescent="0.15">
      <c r="A95" s="16">
        <f>実績データ!A95</f>
        <v>45841</v>
      </c>
      <c r="B95" s="8" t="str">
        <f>実績データ!C95</f>
        <v>A駐車場 (新宿駅前)</v>
      </c>
      <c r="C95" s="8" t="str">
        <f t="shared" si="3"/>
        <v>A駐車場（新宿駅前）</v>
      </c>
      <c r="D95" s="8">
        <f>実績データ!F95</f>
        <v>196</v>
      </c>
      <c r="E95" s="17">
        <f>実績データ!G95</f>
        <v>226607</v>
      </c>
      <c r="F95" s="18">
        <f>実績データ!H95</f>
        <v>0.74747541507704351</v>
      </c>
      <c r="G95" s="8">
        <f>実績データ!I95</f>
        <v>70</v>
      </c>
      <c r="H95" s="8" t="str">
        <f t="shared" si="4"/>
        <v>2025-07</v>
      </c>
      <c r="I95" s="8" t="str">
        <f t="shared" si="5"/>
        <v>木</v>
      </c>
    </row>
    <row r="96" spans="1:9" x14ac:dyDescent="0.15">
      <c r="A96" s="16">
        <f>実績データ!A96</f>
        <v>45842</v>
      </c>
      <c r="B96" s="8" t="str">
        <f>実績データ!C96</f>
        <v xml:space="preserve"> C駐車場（池袋西口）</v>
      </c>
      <c r="C96" s="8" t="str">
        <f t="shared" si="3"/>
        <v>C駐車場（池袋西口）</v>
      </c>
      <c r="D96" s="8">
        <f>実績データ!F96</f>
        <v>97</v>
      </c>
      <c r="E96" s="17">
        <f>実績データ!G96</f>
        <v>106042</v>
      </c>
      <c r="F96" s="18">
        <f>実績データ!H96</f>
        <v>0.39225507982411262</v>
      </c>
      <c r="G96" s="8">
        <f>実績データ!I96</f>
        <v>76</v>
      </c>
      <c r="H96" s="8" t="str">
        <f t="shared" si="4"/>
        <v>2025-07</v>
      </c>
      <c r="I96" s="8" t="str">
        <f t="shared" si="5"/>
        <v>金</v>
      </c>
    </row>
    <row r="97" spans="1:9" x14ac:dyDescent="0.15">
      <c r="A97" s="16">
        <f>実績データ!A97</f>
        <v>45843</v>
      </c>
      <c r="B97" s="8" t="str">
        <f>実績データ!C97</f>
        <v xml:space="preserve">D駐車場（横浜元町） </v>
      </c>
      <c r="C97" s="8" t="str">
        <f t="shared" si="3"/>
        <v>D駐車場（横浜元町）</v>
      </c>
      <c r="D97" s="8">
        <f>実績データ!F97</f>
        <v>114</v>
      </c>
      <c r="E97" s="17">
        <f>実績データ!G97</f>
        <v>122920</v>
      </c>
      <c r="F97" s="18">
        <f>実績データ!H97</f>
        <v>0.46565527050817579</v>
      </c>
      <c r="G97" s="8">
        <f>実績データ!I97</f>
        <v>74</v>
      </c>
      <c r="H97" s="8" t="str">
        <f t="shared" si="4"/>
        <v>2025-07</v>
      </c>
      <c r="I97" s="8" t="str">
        <f t="shared" si="5"/>
        <v>土</v>
      </c>
    </row>
    <row r="98" spans="1:9" x14ac:dyDescent="0.15">
      <c r="A98" s="16">
        <f>実績データ!A98</f>
        <v>45844</v>
      </c>
      <c r="B98" s="8" t="str">
        <f>実績データ!C98</f>
        <v xml:space="preserve">B駐車場（渋谷南） </v>
      </c>
      <c r="C98" s="8" t="str">
        <f t="shared" si="3"/>
        <v>B駐車場（渋谷南）</v>
      </c>
      <c r="D98" s="8">
        <f>実績データ!F98</f>
        <v>168</v>
      </c>
      <c r="E98" s="17">
        <f>実績データ!G98</f>
        <v>224506</v>
      </c>
      <c r="F98" s="18">
        <f>実績データ!H98</f>
        <v>0.62609337540357213</v>
      </c>
      <c r="G98" s="8">
        <f>実績データ!I98</f>
        <v>96</v>
      </c>
      <c r="H98" s="8" t="str">
        <f t="shared" si="4"/>
        <v>2025-07</v>
      </c>
      <c r="I98" s="8" t="str">
        <f t="shared" si="5"/>
        <v>日</v>
      </c>
    </row>
    <row r="99" spans="1:9" x14ac:dyDescent="0.15">
      <c r="A99" s="16">
        <f>実績データ!A99</f>
        <v>45845</v>
      </c>
      <c r="B99" s="8" t="str">
        <f>実績データ!C99</f>
        <v>C駐車場 (池袋西口)</v>
      </c>
      <c r="C99" s="8" t="str">
        <f t="shared" si="3"/>
        <v>C駐車場（池袋西口）</v>
      </c>
      <c r="D99" s="8">
        <f>実績データ!F99</f>
        <v>123</v>
      </c>
      <c r="E99" s="17">
        <f>実績データ!G99</f>
        <v>152326</v>
      </c>
      <c r="F99" s="18">
        <f>実績データ!H99</f>
        <v>0.48296536972130932</v>
      </c>
      <c r="G99" s="8">
        <f>実績データ!I99</f>
        <v>52</v>
      </c>
      <c r="H99" s="8" t="str">
        <f t="shared" si="4"/>
        <v>2025-07</v>
      </c>
      <c r="I99" s="8" t="str">
        <f t="shared" si="5"/>
        <v>月</v>
      </c>
    </row>
    <row r="100" spans="1:9" x14ac:dyDescent="0.15">
      <c r="A100" s="16">
        <f>実績データ!A100</f>
        <v>45846</v>
      </c>
      <c r="B100" s="8" t="str">
        <f>実績データ!C100</f>
        <v>D駐車場（横浜元町）</v>
      </c>
      <c r="C100" s="8" t="str">
        <f t="shared" si="3"/>
        <v>D駐車場（横浜元町）</v>
      </c>
      <c r="D100" s="8">
        <f>実績データ!F100</f>
        <v>138</v>
      </c>
      <c r="E100" s="17">
        <f>実績データ!G100</f>
        <v>166305</v>
      </c>
      <c r="F100" s="18">
        <f>実績データ!H100</f>
        <v>0.50126410201421256</v>
      </c>
      <c r="G100" s="8">
        <f>実績データ!I100</f>
        <v>63</v>
      </c>
      <c r="H100" s="8" t="str">
        <f t="shared" si="4"/>
        <v>2025-07</v>
      </c>
      <c r="I100" s="8" t="str">
        <f t="shared" si="5"/>
        <v>火</v>
      </c>
    </row>
    <row r="101" spans="1:9" x14ac:dyDescent="0.15">
      <c r="A101" s="16">
        <f>実績データ!A101</f>
        <v>45847</v>
      </c>
      <c r="B101" s="8" t="str">
        <f>実績データ!C101</f>
        <v>C駐車場（池袋西口）</v>
      </c>
      <c r="C101" s="8" t="str">
        <f t="shared" si="3"/>
        <v>C駐車場（池袋西口）</v>
      </c>
      <c r="D101" s="8">
        <f>実績データ!F101</f>
        <v>83</v>
      </c>
      <c r="E101" s="17">
        <f>実績データ!G101</f>
        <v>90399</v>
      </c>
      <c r="F101" s="18">
        <f>実績データ!H101</f>
        <v>0.32</v>
      </c>
      <c r="G101" s="8">
        <f>実績データ!I101</f>
        <v>72</v>
      </c>
      <c r="H101" s="8" t="str">
        <f t="shared" si="4"/>
        <v>2025-07</v>
      </c>
      <c r="I101" s="8" t="str">
        <f t="shared" si="5"/>
        <v>水</v>
      </c>
    </row>
    <row r="102" spans="1:9" x14ac:dyDescent="0.15">
      <c r="A102" s="16">
        <f>実績データ!A102</f>
        <v>45848</v>
      </c>
      <c r="B102" s="8" t="str">
        <f>実績データ!C102</f>
        <v xml:space="preserve">B駐車場（渋谷南） </v>
      </c>
      <c r="C102" s="8" t="str">
        <f t="shared" si="3"/>
        <v>B駐車場（渋谷南）</v>
      </c>
      <c r="D102" s="8">
        <f>実績データ!F102</f>
        <v>165</v>
      </c>
      <c r="E102" s="17">
        <f>実績データ!G102</f>
        <v>206448</v>
      </c>
      <c r="F102" s="18">
        <f>実績データ!H102</f>
        <v>0.61370245393187828</v>
      </c>
      <c r="G102" s="8">
        <f>実績データ!I102</f>
        <v>81</v>
      </c>
      <c r="H102" s="8" t="str">
        <f t="shared" si="4"/>
        <v>2025-07</v>
      </c>
      <c r="I102" s="8" t="str">
        <f t="shared" si="5"/>
        <v>木</v>
      </c>
    </row>
    <row r="103" spans="1:9" x14ac:dyDescent="0.15">
      <c r="A103" s="16">
        <f>実績データ!A103</f>
        <v>45849</v>
      </c>
      <c r="B103" s="8" t="str">
        <f>実績データ!C103</f>
        <v xml:space="preserve">B駐車場（渋谷南） </v>
      </c>
      <c r="C103" s="8" t="str">
        <f t="shared" si="3"/>
        <v>B駐車場（渋谷南）</v>
      </c>
      <c r="D103" s="8">
        <f>実績データ!F103</f>
        <v>138</v>
      </c>
      <c r="E103" s="17">
        <f>実績データ!G103</f>
        <v>171314</v>
      </c>
      <c r="F103" s="18">
        <f>実績データ!H103</f>
        <v>0.50283835838796931</v>
      </c>
      <c r="G103" s="8">
        <f>実績データ!I103</f>
        <v>77</v>
      </c>
      <c r="H103" s="8" t="str">
        <f t="shared" si="4"/>
        <v>2025-07</v>
      </c>
      <c r="I103" s="8" t="str">
        <f t="shared" si="5"/>
        <v>金</v>
      </c>
    </row>
    <row r="104" spans="1:9" x14ac:dyDescent="0.15">
      <c r="A104" s="16">
        <f>実績データ!A104</f>
        <v>45850</v>
      </c>
      <c r="B104" s="8" t="str">
        <f>実績データ!C104</f>
        <v>D駐車場（横浜元町）</v>
      </c>
      <c r="C104" s="8" t="str">
        <f t="shared" si="3"/>
        <v>D駐車場（横浜元町）</v>
      </c>
      <c r="D104" s="8">
        <f>実績データ!F104</f>
        <v>110</v>
      </c>
      <c r="E104" s="17">
        <f>実績データ!G104</f>
        <v>124963</v>
      </c>
      <c r="F104" s="18">
        <f>実績データ!H104</f>
        <v>0.45985258954800529</v>
      </c>
      <c r="G104" s="8">
        <f>実績データ!I104</f>
        <v>65</v>
      </c>
      <c r="H104" s="8" t="str">
        <f t="shared" si="4"/>
        <v>2025-07</v>
      </c>
      <c r="I104" s="8" t="str">
        <f t="shared" si="5"/>
        <v>土</v>
      </c>
    </row>
    <row r="105" spans="1:9" x14ac:dyDescent="0.15">
      <c r="A105" s="16">
        <f>実績データ!A105</f>
        <v>45851</v>
      </c>
      <c r="B105" s="8" t="str">
        <f>実績データ!C105</f>
        <v>D駐車場 (横浜元町)</v>
      </c>
      <c r="C105" s="8" t="str">
        <f t="shared" si="3"/>
        <v>D駐車場（横浜元町）</v>
      </c>
      <c r="D105" s="8">
        <f>実績データ!F105</f>
        <v>109</v>
      </c>
      <c r="E105" s="17">
        <f>実績データ!G105</f>
        <v>145377</v>
      </c>
      <c r="F105" s="18">
        <f>実績データ!H105</f>
        <v>0.41896062107953602</v>
      </c>
      <c r="G105" s="8">
        <f>実績データ!I105</f>
        <v>70</v>
      </c>
      <c r="H105" s="8" t="str">
        <f t="shared" si="4"/>
        <v>2025-07</v>
      </c>
      <c r="I105" s="8" t="str">
        <f t="shared" si="5"/>
        <v>日</v>
      </c>
    </row>
    <row r="106" spans="1:9" x14ac:dyDescent="0.15">
      <c r="A106" s="16">
        <f>実績データ!A106</f>
        <v>45852</v>
      </c>
      <c r="B106" s="8" t="str">
        <f>実績データ!C106</f>
        <v xml:space="preserve">B駐車場（渋谷南） </v>
      </c>
      <c r="C106" s="8" t="str">
        <f t="shared" si="3"/>
        <v>B駐車場（渋谷南）</v>
      </c>
      <c r="D106" s="8">
        <f>実績データ!F106</f>
        <v>146</v>
      </c>
      <c r="E106" s="17">
        <f>実績データ!G106</f>
        <v>185591</v>
      </c>
      <c r="F106" s="18">
        <f>実績データ!H106</f>
        <v>0.53213778382804111</v>
      </c>
      <c r="G106" s="8">
        <f>実績データ!I106</f>
        <v>89</v>
      </c>
      <c r="H106" s="8" t="str">
        <f t="shared" si="4"/>
        <v>2025-07</v>
      </c>
      <c r="I106" s="8" t="str">
        <f t="shared" si="5"/>
        <v>月</v>
      </c>
    </row>
    <row r="107" spans="1:9" x14ac:dyDescent="0.15">
      <c r="A107" s="16">
        <f>実績データ!A107</f>
        <v>45853</v>
      </c>
      <c r="B107" s="8" t="str">
        <f>実績データ!C107</f>
        <v>B駐車場（渋谷南）</v>
      </c>
      <c r="C107" s="8" t="str">
        <f t="shared" si="3"/>
        <v>B駐車場（渋谷南）</v>
      </c>
      <c r="D107" s="8">
        <f>実績データ!F107</f>
        <v>178</v>
      </c>
      <c r="E107" s="17">
        <f>実績データ!G107</f>
        <v>219651</v>
      </c>
      <c r="F107" s="18">
        <f>実績データ!H107</f>
        <v>0.63351262850719325</v>
      </c>
      <c r="G107" s="8">
        <f>実績データ!I107</f>
        <v>88</v>
      </c>
      <c r="H107" s="8" t="str">
        <f t="shared" si="4"/>
        <v>2025-07</v>
      </c>
      <c r="I107" s="8" t="str">
        <f t="shared" si="5"/>
        <v>火</v>
      </c>
    </row>
    <row r="108" spans="1:9" x14ac:dyDescent="0.15">
      <c r="A108" s="16">
        <f>実績データ!A108</f>
        <v>45854</v>
      </c>
      <c r="B108" s="8" t="str">
        <f>実績データ!C108</f>
        <v xml:space="preserve">D駐車場（横浜元町） </v>
      </c>
      <c r="C108" s="8" t="str">
        <f t="shared" si="3"/>
        <v>D駐車場（横浜元町）</v>
      </c>
      <c r="D108" s="8">
        <f>実績データ!F108</f>
        <v>107</v>
      </c>
      <c r="E108" s="17">
        <f>実績データ!G108</f>
        <v>104132</v>
      </c>
      <c r="F108" s="18">
        <f>実績データ!H108</f>
        <v>0.37254935497299058</v>
      </c>
      <c r="G108" s="8">
        <f>実績データ!I108</f>
        <v>77</v>
      </c>
      <c r="H108" s="8" t="str">
        <f t="shared" si="4"/>
        <v>2025-07</v>
      </c>
      <c r="I108" s="8" t="str">
        <f t="shared" si="5"/>
        <v>水</v>
      </c>
    </row>
    <row r="109" spans="1:9" x14ac:dyDescent="0.15">
      <c r="A109" s="16">
        <f>実績データ!A109</f>
        <v>45855</v>
      </c>
      <c r="B109" s="8" t="str">
        <f>実績データ!C109</f>
        <v>B駐車場（渋谷南）</v>
      </c>
      <c r="C109" s="8" t="str">
        <f t="shared" si="3"/>
        <v>B駐車場（渋谷南）</v>
      </c>
      <c r="D109" s="8">
        <f>実績データ!F109</f>
        <v>140</v>
      </c>
      <c r="E109" s="17">
        <f>実績データ!G109</f>
        <v>173369</v>
      </c>
      <c r="F109" s="18">
        <f>実績データ!H109</f>
        <v>0.58714842715220406</v>
      </c>
      <c r="G109" s="8">
        <f>実績データ!I109</f>
        <v>66</v>
      </c>
      <c r="H109" s="8" t="str">
        <f t="shared" si="4"/>
        <v>2025-07</v>
      </c>
      <c r="I109" s="8" t="str">
        <f t="shared" si="5"/>
        <v>木</v>
      </c>
    </row>
    <row r="110" spans="1:9" x14ac:dyDescent="0.15">
      <c r="A110" s="16">
        <f>実績データ!A110</f>
        <v>45856</v>
      </c>
      <c r="B110" s="8" t="str">
        <f>実績データ!C110</f>
        <v xml:space="preserve"> A駐車場（新宿駅前）</v>
      </c>
      <c r="C110" s="8" t="str">
        <f t="shared" si="3"/>
        <v>A駐車場（新宿駅前）</v>
      </c>
      <c r="D110" s="8">
        <f>実績データ!F110</f>
        <v>165</v>
      </c>
      <c r="E110" s="17">
        <f>実績データ!G110</f>
        <v>189157</v>
      </c>
      <c r="F110" s="18">
        <f>実績データ!H110</f>
        <v>0.62320030066891341</v>
      </c>
      <c r="G110" s="8">
        <f>実績データ!I110</f>
        <v>68</v>
      </c>
      <c r="H110" s="8" t="str">
        <f t="shared" si="4"/>
        <v>2025-07</v>
      </c>
      <c r="I110" s="8" t="str">
        <f t="shared" si="5"/>
        <v>金</v>
      </c>
    </row>
    <row r="111" spans="1:9" x14ac:dyDescent="0.15">
      <c r="A111" s="16">
        <f>実績データ!A111</f>
        <v>45857</v>
      </c>
      <c r="B111" s="8" t="str">
        <f>実績データ!C111</f>
        <v xml:space="preserve">D駐車場（横浜元町） </v>
      </c>
      <c r="C111" s="8" t="str">
        <f t="shared" si="3"/>
        <v>D駐車場（横浜元町）</v>
      </c>
      <c r="D111" s="8">
        <f>実績データ!F111</f>
        <v>104</v>
      </c>
      <c r="E111" s="17">
        <f>実績データ!G111</f>
        <v>102724</v>
      </c>
      <c r="F111" s="18">
        <f>実績データ!H111</f>
        <v>0.44156683803953378</v>
      </c>
      <c r="G111" s="8">
        <f>実績データ!I111</f>
        <v>57</v>
      </c>
      <c r="H111" s="8" t="str">
        <f t="shared" si="4"/>
        <v>2025-07</v>
      </c>
      <c r="I111" s="8" t="str">
        <f t="shared" si="5"/>
        <v>土</v>
      </c>
    </row>
    <row r="112" spans="1:9" x14ac:dyDescent="0.15">
      <c r="A112" s="16">
        <f>実績データ!A112</f>
        <v>45858</v>
      </c>
      <c r="B112" s="8" t="str">
        <f>実績データ!C112</f>
        <v>A駐車場 (新宿駅前)</v>
      </c>
      <c r="C112" s="8" t="str">
        <f t="shared" si="3"/>
        <v>A駐車場（新宿駅前）</v>
      </c>
      <c r="D112" s="8">
        <f>実績データ!F112</f>
        <v>172</v>
      </c>
      <c r="E112" s="17">
        <f>実績データ!G112</f>
        <v>203933</v>
      </c>
      <c r="F112" s="18">
        <f>実績データ!H112</f>
        <v>0.64999656342724677</v>
      </c>
      <c r="G112" s="8">
        <f>実績データ!I112</f>
        <v>65</v>
      </c>
      <c r="H112" s="8" t="str">
        <f t="shared" si="4"/>
        <v>2025-07</v>
      </c>
      <c r="I112" s="8" t="str">
        <f t="shared" si="5"/>
        <v>日</v>
      </c>
    </row>
    <row r="113" spans="1:9" x14ac:dyDescent="0.15">
      <c r="A113" s="16">
        <f>実績データ!A113</f>
        <v>45859</v>
      </c>
      <c r="B113" s="8" t="str">
        <f>実績データ!C113</f>
        <v>D駐車場 (横浜元町)</v>
      </c>
      <c r="C113" s="8" t="str">
        <f t="shared" si="3"/>
        <v>D駐車場（横浜元町）</v>
      </c>
      <c r="D113" s="8">
        <f>実績データ!F113</f>
        <v>145</v>
      </c>
      <c r="E113" s="17">
        <f>実績データ!G113</f>
        <v>166897</v>
      </c>
      <c r="F113" s="18">
        <f>実績データ!H113</f>
        <v>0.5530902126100522</v>
      </c>
      <c r="G113" s="8">
        <f>実績データ!I113</f>
        <v>66</v>
      </c>
      <c r="H113" s="8" t="str">
        <f t="shared" si="4"/>
        <v>2025-07</v>
      </c>
      <c r="I113" s="8" t="str">
        <f t="shared" si="5"/>
        <v>月</v>
      </c>
    </row>
    <row r="114" spans="1:9" x14ac:dyDescent="0.15">
      <c r="A114" s="16">
        <f>実績データ!A114</f>
        <v>45860</v>
      </c>
      <c r="B114" s="8" t="str">
        <f>実績データ!C114</f>
        <v>A駐車場（新宿駅前）</v>
      </c>
      <c r="C114" s="8" t="str">
        <f t="shared" si="3"/>
        <v>A駐車場（新宿駅前）</v>
      </c>
      <c r="D114" s="8">
        <f>実績データ!F114</f>
        <v>198</v>
      </c>
      <c r="E114" s="17">
        <f>実績データ!G114</f>
        <v>247658</v>
      </c>
      <c r="F114" s="18">
        <f>実績データ!H114</f>
        <v>0.75240836327027594</v>
      </c>
      <c r="G114" s="8">
        <f>実績データ!I114</f>
        <v>79</v>
      </c>
      <c r="H114" s="8" t="str">
        <f t="shared" si="4"/>
        <v>2025-07</v>
      </c>
      <c r="I114" s="8" t="str">
        <f t="shared" si="5"/>
        <v>火</v>
      </c>
    </row>
    <row r="115" spans="1:9" x14ac:dyDescent="0.15">
      <c r="A115" s="16">
        <f>実績データ!A115</f>
        <v>45861</v>
      </c>
      <c r="B115" s="8" t="str">
        <f>実績データ!C115</f>
        <v xml:space="preserve">B駐車場（渋谷南） </v>
      </c>
      <c r="C115" s="8" t="str">
        <f t="shared" si="3"/>
        <v>B駐車場（渋谷南）</v>
      </c>
      <c r="D115" s="8">
        <f>実績データ!F115</f>
        <v>166</v>
      </c>
      <c r="E115" s="17">
        <f>実績データ!G115</f>
        <v>210105</v>
      </c>
      <c r="F115" s="18">
        <f>実績データ!H115</f>
        <v>0.67196475868226568</v>
      </c>
      <c r="G115" s="8">
        <f>実績データ!I115</f>
        <v>69</v>
      </c>
      <c r="H115" s="8" t="str">
        <f t="shared" si="4"/>
        <v>2025-07</v>
      </c>
      <c r="I115" s="8" t="str">
        <f t="shared" si="5"/>
        <v>水</v>
      </c>
    </row>
    <row r="116" spans="1:9" x14ac:dyDescent="0.15">
      <c r="A116" s="16">
        <f>実績データ!A116</f>
        <v>45862</v>
      </c>
      <c r="B116" s="8" t="str">
        <f>実績データ!C116</f>
        <v xml:space="preserve">B駐車場（渋谷南） </v>
      </c>
      <c r="C116" s="8" t="str">
        <f t="shared" si="3"/>
        <v>B駐車場（渋谷南）</v>
      </c>
      <c r="D116" s="8">
        <f>実績データ!F116</f>
        <v>148</v>
      </c>
      <c r="E116" s="17">
        <f>実績データ!G116</f>
        <v>185740</v>
      </c>
      <c r="F116" s="18">
        <f>実績データ!H116</f>
        <v>0.56906982713750476</v>
      </c>
      <c r="G116" s="8">
        <f>実績データ!I116</f>
        <v>79</v>
      </c>
      <c r="H116" s="8" t="str">
        <f t="shared" si="4"/>
        <v>2025-07</v>
      </c>
      <c r="I116" s="8" t="str">
        <f t="shared" si="5"/>
        <v>木</v>
      </c>
    </row>
    <row r="117" spans="1:9" x14ac:dyDescent="0.15">
      <c r="A117" s="16">
        <f>実績データ!A117</f>
        <v>45863</v>
      </c>
      <c r="B117" s="8" t="str">
        <f>実績データ!C117</f>
        <v>A駐車場 (新宿駅前)</v>
      </c>
      <c r="C117" s="8" t="str">
        <f t="shared" si="3"/>
        <v>A駐車場（新宿駅前）</v>
      </c>
      <c r="D117" s="8">
        <f>実績データ!F117</f>
        <v>151</v>
      </c>
      <c r="E117" s="17">
        <f>実績データ!G117</f>
        <v>188175</v>
      </c>
      <c r="F117" s="18">
        <f>実績データ!H117</f>
        <v>0.53818452768898928</v>
      </c>
      <c r="G117" s="8">
        <f>実績データ!I117</f>
        <v>66</v>
      </c>
      <c r="H117" s="8" t="str">
        <f t="shared" si="4"/>
        <v>2025-07</v>
      </c>
      <c r="I117" s="8" t="str">
        <f t="shared" si="5"/>
        <v>金</v>
      </c>
    </row>
    <row r="118" spans="1:9" x14ac:dyDescent="0.15">
      <c r="A118" s="16">
        <f>実績データ!A118</f>
        <v>45864</v>
      </c>
      <c r="B118" s="8" t="str">
        <f>実績データ!C118</f>
        <v xml:space="preserve">D駐車場（横浜元町） </v>
      </c>
      <c r="C118" s="8" t="str">
        <f t="shared" si="3"/>
        <v>D駐車場（横浜元町）</v>
      </c>
      <c r="D118" s="8">
        <f>実績データ!F118</f>
        <v>129</v>
      </c>
      <c r="E118" s="17">
        <f>実績データ!G118</f>
        <v>144322</v>
      </c>
      <c r="F118" s="18">
        <f>実績データ!H118</f>
        <v>0.46603911429344302</v>
      </c>
      <c r="G118" s="8">
        <f>実績データ!I118</f>
        <v>76</v>
      </c>
      <c r="H118" s="8" t="str">
        <f t="shared" si="4"/>
        <v>2025-07</v>
      </c>
      <c r="I118" s="8" t="str">
        <f t="shared" si="5"/>
        <v>土</v>
      </c>
    </row>
    <row r="119" spans="1:9" x14ac:dyDescent="0.15">
      <c r="A119" s="16">
        <f>実績データ!A119</f>
        <v>45865</v>
      </c>
      <c r="B119" s="8" t="str">
        <f>実績データ!C119</f>
        <v>C駐車場（池袋西口）</v>
      </c>
      <c r="C119" s="8" t="str">
        <f t="shared" si="3"/>
        <v>C駐車場（池袋西口）</v>
      </c>
      <c r="D119" s="8">
        <f>実績データ!F119</f>
        <v>143</v>
      </c>
      <c r="E119" s="17">
        <f>実績データ!G119</f>
        <v>169709</v>
      </c>
      <c r="F119" s="18">
        <f>実績データ!H119</f>
        <v>0.60079537197504107</v>
      </c>
      <c r="G119" s="8">
        <f>実績データ!I119</f>
        <v>66</v>
      </c>
      <c r="H119" s="8" t="str">
        <f t="shared" si="4"/>
        <v>2025-07</v>
      </c>
      <c r="I119" s="8" t="str">
        <f t="shared" si="5"/>
        <v>日</v>
      </c>
    </row>
    <row r="120" spans="1:9" x14ac:dyDescent="0.15">
      <c r="A120" s="16">
        <f>実績データ!A120</f>
        <v>45866</v>
      </c>
      <c r="B120" s="8" t="str">
        <f>実績データ!C120</f>
        <v>D駐車場（横浜元町）</v>
      </c>
      <c r="C120" s="8" t="str">
        <f t="shared" si="3"/>
        <v>D駐車場（横浜元町）</v>
      </c>
      <c r="D120" s="8">
        <f>実績データ!F120</f>
        <v>132</v>
      </c>
      <c r="E120" s="17">
        <f>実績データ!G120</f>
        <v>131954</v>
      </c>
      <c r="F120" s="18">
        <f>実績データ!H120</f>
        <v>0.51176840138822421</v>
      </c>
      <c r="G120" s="8">
        <f>実績データ!I120</f>
        <v>64</v>
      </c>
      <c r="H120" s="8" t="str">
        <f t="shared" si="4"/>
        <v>2025-07</v>
      </c>
      <c r="I120" s="8" t="str">
        <f t="shared" si="5"/>
        <v>月</v>
      </c>
    </row>
    <row r="121" spans="1:9" x14ac:dyDescent="0.15">
      <c r="A121" s="16">
        <f>実績データ!A121</f>
        <v>45867</v>
      </c>
      <c r="B121" s="8" t="str">
        <f>実績データ!C121</f>
        <v>C駐車場 (池袋西口)</v>
      </c>
      <c r="C121" s="8" t="str">
        <f t="shared" si="3"/>
        <v>C駐車場（池袋西口）</v>
      </c>
      <c r="D121" s="8">
        <f>実績データ!F121</f>
        <v>105</v>
      </c>
      <c r="E121" s="17">
        <f>実績データ!G121</f>
        <v>107718</v>
      </c>
      <c r="F121" s="18">
        <f>実績データ!H121</f>
        <v>0.36775424550162999</v>
      </c>
      <c r="G121" s="8">
        <f>実績データ!I121</f>
        <v>55</v>
      </c>
      <c r="H121" s="8" t="str">
        <f t="shared" si="4"/>
        <v>2025-07</v>
      </c>
      <c r="I121" s="8" t="str">
        <f t="shared" si="5"/>
        <v>火</v>
      </c>
    </row>
    <row r="122" spans="1:9" x14ac:dyDescent="0.15">
      <c r="A122" s="16">
        <f>実績データ!A122</f>
        <v>45868</v>
      </c>
      <c r="B122" s="8" t="str">
        <f>実績データ!C122</f>
        <v xml:space="preserve"> C駐車場（池袋西口）</v>
      </c>
      <c r="C122" s="8" t="str">
        <f t="shared" si="3"/>
        <v>C駐車場（池袋西口）</v>
      </c>
      <c r="D122" s="8">
        <f>実績データ!F122</f>
        <v>119</v>
      </c>
      <c r="E122" s="17">
        <f>実績データ!G122</f>
        <v>138575</v>
      </c>
      <c r="F122" s="18">
        <f>実績データ!H122</f>
        <v>0.44541809552748829</v>
      </c>
      <c r="G122" s="8">
        <f>実績データ!I122</f>
        <v>71</v>
      </c>
      <c r="H122" s="8" t="str">
        <f t="shared" si="4"/>
        <v>2025-07</v>
      </c>
      <c r="I122" s="8" t="str">
        <f t="shared" si="5"/>
        <v>水</v>
      </c>
    </row>
    <row r="123" spans="1:9" x14ac:dyDescent="0.15">
      <c r="A123" s="16">
        <f>実績データ!A123</f>
        <v>45869</v>
      </c>
      <c r="B123" s="8" t="str">
        <f>実績データ!C123</f>
        <v>B駐車場（渋谷南）</v>
      </c>
      <c r="C123" s="8" t="str">
        <f t="shared" si="3"/>
        <v>B駐車場（渋谷南）</v>
      </c>
      <c r="D123" s="8">
        <f>実績データ!F123</f>
        <v>169</v>
      </c>
      <c r="E123" s="17">
        <f>実績データ!G123</f>
        <v>229648</v>
      </c>
      <c r="F123" s="18">
        <f>実績データ!H123</f>
        <v>0.67383706232010021</v>
      </c>
      <c r="G123" s="8">
        <f>実績データ!I123</f>
        <v>72</v>
      </c>
      <c r="H123" s="8" t="str">
        <f t="shared" si="4"/>
        <v>2025-07</v>
      </c>
      <c r="I123" s="8" t="str">
        <f t="shared" si="5"/>
        <v>木</v>
      </c>
    </row>
    <row r="124" spans="1:9" x14ac:dyDescent="0.15">
      <c r="A124" s="16">
        <f>実績データ!A124</f>
        <v>45870</v>
      </c>
      <c r="B124" s="8" t="str">
        <f>実績データ!C124</f>
        <v>D駐車場（横浜元町）</v>
      </c>
      <c r="C124" s="8" t="str">
        <f t="shared" si="3"/>
        <v>D駐車場（横浜元町）</v>
      </c>
      <c r="D124" s="8">
        <f>実績データ!F124</f>
        <v>127</v>
      </c>
      <c r="E124" s="17">
        <f>実績データ!G124</f>
        <v>146547</v>
      </c>
      <c r="F124" s="18">
        <f>実績データ!H124</f>
        <v>0.53184668253607303</v>
      </c>
      <c r="G124" s="8">
        <f>実績データ!I124</f>
        <v>59</v>
      </c>
      <c r="H124" s="8" t="str">
        <f t="shared" si="4"/>
        <v>2025-08</v>
      </c>
      <c r="I124" s="8" t="str">
        <f t="shared" si="5"/>
        <v>金</v>
      </c>
    </row>
    <row r="125" spans="1:9" x14ac:dyDescent="0.15">
      <c r="A125" s="16">
        <f>実績データ!A125</f>
        <v>45871</v>
      </c>
      <c r="B125" s="8" t="str">
        <f>実績データ!C125</f>
        <v>B駐車場（渋谷南）</v>
      </c>
      <c r="C125" s="8" t="str">
        <f t="shared" si="3"/>
        <v>B駐車場（渋谷南）</v>
      </c>
      <c r="D125" s="8">
        <f>実績データ!F125</f>
        <v>190</v>
      </c>
      <c r="E125" s="17">
        <f>実績データ!G125</f>
        <v>220770</v>
      </c>
      <c r="F125" s="18">
        <f>実績データ!H125</f>
        <v>0.82157291386219378</v>
      </c>
      <c r="G125" s="8">
        <f>実績データ!I125</f>
        <v>75</v>
      </c>
      <c r="H125" s="8" t="str">
        <f t="shared" si="4"/>
        <v>2025-08</v>
      </c>
      <c r="I125" s="8" t="str">
        <f t="shared" si="5"/>
        <v>土</v>
      </c>
    </row>
    <row r="126" spans="1:9" x14ac:dyDescent="0.15">
      <c r="A126" s="16">
        <f>実績データ!A126</f>
        <v>45872</v>
      </c>
      <c r="B126" s="8" t="str">
        <f>実績データ!C126</f>
        <v>A駐車場 (新宿駅前)</v>
      </c>
      <c r="C126" s="8" t="str">
        <f t="shared" si="3"/>
        <v>A駐車場（新宿駅前）</v>
      </c>
      <c r="D126" s="8">
        <f>実績データ!F126</f>
        <v>176</v>
      </c>
      <c r="E126" s="17">
        <f>実績データ!G126</f>
        <v>220858</v>
      </c>
      <c r="F126" s="18">
        <f>実績データ!H126</f>
        <v>0.6374638559821838</v>
      </c>
      <c r="G126" s="8">
        <f>実績データ!I126</f>
        <v>81</v>
      </c>
      <c r="H126" s="8" t="str">
        <f t="shared" si="4"/>
        <v>2025-08</v>
      </c>
      <c r="I126" s="8" t="str">
        <f t="shared" si="5"/>
        <v>日</v>
      </c>
    </row>
    <row r="127" spans="1:9" x14ac:dyDescent="0.15">
      <c r="A127" s="16">
        <f>実績データ!A127</f>
        <v>45873</v>
      </c>
      <c r="B127" s="8" t="str">
        <f>実績データ!C127</f>
        <v>C駐車場 (池袋西口)</v>
      </c>
      <c r="C127" s="8" t="str">
        <f t="shared" si="3"/>
        <v>C駐車場（池袋西口）</v>
      </c>
      <c r="D127" s="8">
        <f>実績データ!F127</f>
        <v>127</v>
      </c>
      <c r="E127" s="17">
        <f>実績データ!G127</f>
        <v>156642</v>
      </c>
      <c r="F127" s="18">
        <f>実績データ!H127</f>
        <v>0.56024691657083214</v>
      </c>
      <c r="G127" s="8">
        <f>実績データ!I127</f>
        <v>70</v>
      </c>
      <c r="H127" s="8" t="str">
        <f t="shared" si="4"/>
        <v>2025-08</v>
      </c>
      <c r="I127" s="8" t="str">
        <f t="shared" si="5"/>
        <v>月</v>
      </c>
    </row>
    <row r="128" spans="1:9" x14ac:dyDescent="0.15">
      <c r="A128" s="16">
        <f>実績データ!A128</f>
        <v>45874</v>
      </c>
      <c r="B128" s="8" t="str">
        <f>実績データ!C128</f>
        <v>A駐車場（新宿駅前）</v>
      </c>
      <c r="C128" s="8" t="str">
        <f t="shared" si="3"/>
        <v>A駐車場（新宿駅前）</v>
      </c>
      <c r="D128" s="8">
        <f>実績データ!F128</f>
        <v>149</v>
      </c>
      <c r="E128" s="17">
        <f>実績データ!G128</f>
        <v>171700</v>
      </c>
      <c r="F128" s="18">
        <f>実績データ!H128</f>
        <v>0.55774763819606565</v>
      </c>
      <c r="G128" s="8">
        <f>実績データ!I128</f>
        <v>60</v>
      </c>
      <c r="H128" s="8" t="str">
        <f t="shared" si="4"/>
        <v>2025-08</v>
      </c>
      <c r="I128" s="8" t="str">
        <f t="shared" si="5"/>
        <v>火</v>
      </c>
    </row>
    <row r="129" spans="1:9" x14ac:dyDescent="0.15">
      <c r="A129" s="16">
        <f>実績データ!A129</f>
        <v>45875</v>
      </c>
      <c r="B129" s="8" t="str">
        <f>実績データ!C129</f>
        <v xml:space="preserve"> A駐車場（新宿駅前）</v>
      </c>
      <c r="C129" s="8" t="str">
        <f t="shared" si="3"/>
        <v>A駐車場（新宿駅前）</v>
      </c>
      <c r="D129" s="8">
        <f>実績データ!F129</f>
        <v>155</v>
      </c>
      <c r="E129" s="17">
        <f>実績データ!G129</f>
        <v>202271</v>
      </c>
      <c r="F129" s="18">
        <f>実績データ!H129</f>
        <v>0.65606377813815397</v>
      </c>
      <c r="G129" s="8">
        <f>実績データ!I129</f>
        <v>81</v>
      </c>
      <c r="H129" s="8" t="str">
        <f t="shared" si="4"/>
        <v>2025-08</v>
      </c>
      <c r="I129" s="8" t="str">
        <f t="shared" si="5"/>
        <v>水</v>
      </c>
    </row>
    <row r="130" spans="1:9" x14ac:dyDescent="0.15">
      <c r="A130" s="16">
        <f>実績データ!A130</f>
        <v>45876</v>
      </c>
      <c r="B130" s="8" t="str">
        <f>実績データ!C130</f>
        <v xml:space="preserve"> C駐車場（池袋西口）</v>
      </c>
      <c r="C130" s="8" t="str">
        <f t="shared" ref="C130:C193" si="6">SUBSTITUTE(SUBSTITUTE(SUBSTITUTE(SUBSTITUTE(B130," ",""),"　",""),"(","（"),")","）")</f>
        <v>C駐車場（池袋西口）</v>
      </c>
      <c r="D130" s="8">
        <f>実績データ!F130</f>
        <v>101</v>
      </c>
      <c r="E130" s="17">
        <f>実績データ!G130</f>
        <v>102823</v>
      </c>
      <c r="F130" s="18">
        <f>実績データ!H130</f>
        <v>0.42286121596393911</v>
      </c>
      <c r="G130" s="8">
        <f>実績データ!I130</f>
        <v>65</v>
      </c>
      <c r="H130" s="8" t="str">
        <f t="shared" ref="H130:H193" si="7">TEXT(A130,"yyyy-mm")</f>
        <v>2025-08</v>
      </c>
      <c r="I130" s="8" t="str">
        <f t="shared" ref="I130:I193" si="8">TEXT(A130,"aaa")</f>
        <v>木</v>
      </c>
    </row>
    <row r="131" spans="1:9" x14ac:dyDescent="0.15">
      <c r="A131" s="16">
        <f>実績データ!A131</f>
        <v>45877</v>
      </c>
      <c r="B131" s="8" t="str">
        <f>実績データ!C131</f>
        <v xml:space="preserve">D駐車場（横浜元町） </v>
      </c>
      <c r="C131" s="8" t="str">
        <f t="shared" si="6"/>
        <v>D駐車場（横浜元町）</v>
      </c>
      <c r="D131" s="8">
        <f>実績データ!F131</f>
        <v>79</v>
      </c>
      <c r="E131" s="17">
        <f>実績データ!G131</f>
        <v>73571</v>
      </c>
      <c r="F131" s="18">
        <f>実績データ!H131</f>
        <v>0.32</v>
      </c>
      <c r="G131" s="8">
        <f>実績データ!I131</f>
        <v>82</v>
      </c>
      <c r="H131" s="8" t="str">
        <f t="shared" si="7"/>
        <v>2025-08</v>
      </c>
      <c r="I131" s="8" t="str">
        <f t="shared" si="8"/>
        <v>金</v>
      </c>
    </row>
    <row r="132" spans="1:9" x14ac:dyDescent="0.15">
      <c r="A132" s="16">
        <f>実績データ!A132</f>
        <v>45878</v>
      </c>
      <c r="B132" s="8" t="str">
        <f>実績データ!C132</f>
        <v>B駐車場（渋谷南）</v>
      </c>
      <c r="C132" s="8" t="str">
        <f t="shared" si="6"/>
        <v>B駐車場（渋谷南）</v>
      </c>
      <c r="D132" s="8">
        <f>実績データ!F132</f>
        <v>175</v>
      </c>
      <c r="E132" s="17">
        <f>実績データ!G132</f>
        <v>212671</v>
      </c>
      <c r="F132" s="18">
        <f>実績データ!H132</f>
        <v>0.65581813594494576</v>
      </c>
      <c r="G132" s="8">
        <f>実績データ!I132</f>
        <v>68</v>
      </c>
      <c r="H132" s="8" t="str">
        <f t="shared" si="7"/>
        <v>2025-08</v>
      </c>
      <c r="I132" s="8" t="str">
        <f t="shared" si="8"/>
        <v>土</v>
      </c>
    </row>
    <row r="133" spans="1:9" x14ac:dyDescent="0.15">
      <c r="A133" s="16">
        <f>実績データ!A133</f>
        <v>45879</v>
      </c>
      <c r="B133" s="8" t="str">
        <f>実績データ!C133</f>
        <v>C駐車場 (池袋西口)</v>
      </c>
      <c r="C133" s="8" t="str">
        <f t="shared" si="6"/>
        <v>C駐車場（池袋西口）</v>
      </c>
      <c r="D133" s="8">
        <f>実績データ!F133</f>
        <v>128</v>
      </c>
      <c r="E133" s="17">
        <f>実績データ!G133</f>
        <v>158012</v>
      </c>
      <c r="F133" s="18">
        <f>実績データ!H133</f>
        <v>0.51457745268318655</v>
      </c>
      <c r="G133" s="8">
        <f>実績データ!I133</f>
        <v>60</v>
      </c>
      <c r="H133" s="8" t="str">
        <f t="shared" si="7"/>
        <v>2025-08</v>
      </c>
      <c r="I133" s="8" t="str">
        <f t="shared" si="8"/>
        <v>日</v>
      </c>
    </row>
    <row r="134" spans="1:9" x14ac:dyDescent="0.15">
      <c r="A134" s="16">
        <f>実績データ!A134</f>
        <v>45880</v>
      </c>
      <c r="B134" s="8" t="str">
        <f>実績データ!C134</f>
        <v>A駐車場 (新宿駅前)</v>
      </c>
      <c r="C134" s="8" t="str">
        <f t="shared" si="6"/>
        <v>A駐車場（新宿駅前）</v>
      </c>
      <c r="D134" s="8">
        <f>実績データ!F134</f>
        <v>164</v>
      </c>
      <c r="E134" s="17">
        <f>実績データ!G134</f>
        <v>191352</v>
      </c>
      <c r="F134" s="18">
        <f>実績データ!H134</f>
        <v>0.66249759170423783</v>
      </c>
      <c r="G134" s="8">
        <f>実績データ!I134</f>
        <v>79</v>
      </c>
      <c r="H134" s="8" t="str">
        <f t="shared" si="7"/>
        <v>2025-08</v>
      </c>
      <c r="I134" s="8" t="str">
        <f t="shared" si="8"/>
        <v>月</v>
      </c>
    </row>
    <row r="135" spans="1:9" x14ac:dyDescent="0.15">
      <c r="A135" s="16">
        <f>実績データ!A135</f>
        <v>45881</v>
      </c>
      <c r="B135" s="8" t="str">
        <f>実績データ!C135</f>
        <v xml:space="preserve">B駐車場（渋谷南） </v>
      </c>
      <c r="C135" s="8" t="str">
        <f t="shared" si="6"/>
        <v>B駐車場（渋谷南）</v>
      </c>
      <c r="D135" s="8">
        <f>実績データ!F135</f>
        <v>161</v>
      </c>
      <c r="E135" s="17">
        <f>実績データ!G135</f>
        <v>191576</v>
      </c>
      <c r="F135" s="18">
        <f>実績データ!H135</f>
        <v>0.62864207222909763</v>
      </c>
      <c r="G135" s="8">
        <f>実績データ!I135</f>
        <v>64</v>
      </c>
      <c r="H135" s="8" t="str">
        <f t="shared" si="7"/>
        <v>2025-08</v>
      </c>
      <c r="I135" s="8" t="str">
        <f t="shared" si="8"/>
        <v>火</v>
      </c>
    </row>
    <row r="136" spans="1:9" x14ac:dyDescent="0.15">
      <c r="A136" s="16">
        <f>実績データ!A136</f>
        <v>45882</v>
      </c>
      <c r="B136" s="8" t="str">
        <f>実績データ!C136</f>
        <v>B駐車場（渋谷南）</v>
      </c>
      <c r="C136" s="8" t="str">
        <f t="shared" si="6"/>
        <v>B駐車場（渋谷南）</v>
      </c>
      <c r="D136" s="8">
        <f>実績データ!F136</f>
        <v>125</v>
      </c>
      <c r="E136" s="17">
        <f>実績データ!G136</f>
        <v>149630</v>
      </c>
      <c r="F136" s="18">
        <f>実績データ!H136</f>
        <v>0.53490441861426208</v>
      </c>
      <c r="G136" s="8">
        <f>実績データ!I136</f>
        <v>88</v>
      </c>
      <c r="H136" s="8" t="str">
        <f t="shared" si="7"/>
        <v>2025-08</v>
      </c>
      <c r="I136" s="8" t="str">
        <f t="shared" si="8"/>
        <v>水</v>
      </c>
    </row>
    <row r="137" spans="1:9" x14ac:dyDescent="0.15">
      <c r="A137" s="16">
        <f>実績データ!A137</f>
        <v>45883</v>
      </c>
      <c r="B137" s="8" t="str">
        <f>実績データ!C137</f>
        <v>B駐車場 (渋谷南)</v>
      </c>
      <c r="C137" s="8" t="str">
        <f t="shared" si="6"/>
        <v>B駐車場（渋谷南）</v>
      </c>
      <c r="D137" s="8">
        <f>実績データ!F137</f>
        <v>153</v>
      </c>
      <c r="E137" s="17">
        <f>実績データ!G137</f>
        <v>188586</v>
      </c>
      <c r="F137" s="18">
        <f>実績データ!H137</f>
        <v>0.58670470678511932</v>
      </c>
      <c r="G137" s="8">
        <f>実績データ!I137</f>
        <v>82</v>
      </c>
      <c r="H137" s="8" t="str">
        <f t="shared" si="7"/>
        <v>2025-08</v>
      </c>
      <c r="I137" s="8" t="str">
        <f t="shared" si="8"/>
        <v>木</v>
      </c>
    </row>
    <row r="138" spans="1:9" x14ac:dyDescent="0.15">
      <c r="A138" s="16">
        <f>実績データ!A138</f>
        <v>45884</v>
      </c>
      <c r="B138" s="8" t="str">
        <f>実績データ!C138</f>
        <v>A駐車場 (新宿駅前)</v>
      </c>
      <c r="C138" s="8" t="str">
        <f t="shared" si="6"/>
        <v>A駐車場（新宿駅前）</v>
      </c>
      <c r="D138" s="8">
        <f>実績データ!F138</f>
        <v>129</v>
      </c>
      <c r="E138" s="17">
        <f>実績データ!G138</f>
        <v>160475</v>
      </c>
      <c r="F138" s="18">
        <f>実績データ!H138</f>
        <v>0.47939221199499288</v>
      </c>
      <c r="G138" s="8">
        <f>実績データ!I138</f>
        <v>71</v>
      </c>
      <c r="H138" s="8" t="str">
        <f t="shared" si="7"/>
        <v>2025-08</v>
      </c>
      <c r="I138" s="8" t="str">
        <f t="shared" si="8"/>
        <v>金</v>
      </c>
    </row>
    <row r="139" spans="1:9" x14ac:dyDescent="0.15">
      <c r="A139" s="16">
        <f>実績データ!A139</f>
        <v>45885</v>
      </c>
      <c r="B139" s="8" t="str">
        <f>実績データ!C139</f>
        <v xml:space="preserve"> C駐車場（池袋西口）</v>
      </c>
      <c r="C139" s="8" t="str">
        <f t="shared" si="6"/>
        <v>C駐車場（池袋西口）</v>
      </c>
      <c r="D139" s="8">
        <f>実績データ!F139</f>
        <v>78</v>
      </c>
      <c r="E139" s="17">
        <f>実績データ!G139</f>
        <v>100883</v>
      </c>
      <c r="F139" s="18">
        <f>実績データ!H139</f>
        <v>0.33708318711523722</v>
      </c>
      <c r="G139" s="8">
        <f>実績データ!I139</f>
        <v>71</v>
      </c>
      <c r="H139" s="8" t="str">
        <f t="shared" si="7"/>
        <v>2025-08</v>
      </c>
      <c r="I139" s="8" t="str">
        <f t="shared" si="8"/>
        <v>土</v>
      </c>
    </row>
    <row r="140" spans="1:9" x14ac:dyDescent="0.15">
      <c r="A140" s="16">
        <f>実績データ!A140</f>
        <v>45886</v>
      </c>
      <c r="B140" s="8" t="str">
        <f>実績データ!C140</f>
        <v>D駐車場（横浜元町）</v>
      </c>
      <c r="C140" s="8" t="str">
        <f t="shared" si="6"/>
        <v>D駐車場（横浜元町）</v>
      </c>
      <c r="D140" s="8">
        <f>実績データ!F140</f>
        <v>113</v>
      </c>
      <c r="E140" s="17">
        <f>実績データ!G140</f>
        <v>119577</v>
      </c>
      <c r="F140" s="18">
        <f>実績データ!H140</f>
        <v>0.45949982966277753</v>
      </c>
      <c r="G140" s="8">
        <f>実績データ!I140</f>
        <v>65</v>
      </c>
      <c r="H140" s="8" t="str">
        <f t="shared" si="7"/>
        <v>2025-08</v>
      </c>
      <c r="I140" s="8" t="str">
        <f t="shared" si="8"/>
        <v>日</v>
      </c>
    </row>
    <row r="141" spans="1:9" x14ac:dyDescent="0.15">
      <c r="A141" s="16">
        <f>実績データ!A141</f>
        <v>45887</v>
      </c>
      <c r="B141" s="8" t="str">
        <f>実績データ!C141</f>
        <v xml:space="preserve"> C駐車場（池袋西口）</v>
      </c>
      <c r="C141" s="8" t="str">
        <f t="shared" si="6"/>
        <v>C駐車場（池袋西口）</v>
      </c>
      <c r="D141" s="8">
        <f>実績データ!F141</f>
        <v>97</v>
      </c>
      <c r="E141" s="17">
        <f>実績データ!G141</f>
        <v>104219</v>
      </c>
      <c r="F141" s="18">
        <f>実績データ!H141</f>
        <v>0.36500293527649991</v>
      </c>
      <c r="G141" s="8">
        <f>実績データ!I141</f>
        <v>60</v>
      </c>
      <c r="H141" s="8" t="str">
        <f t="shared" si="7"/>
        <v>2025-08</v>
      </c>
      <c r="I141" s="8" t="str">
        <f t="shared" si="8"/>
        <v>月</v>
      </c>
    </row>
    <row r="142" spans="1:9" x14ac:dyDescent="0.15">
      <c r="A142" s="16">
        <f>実績データ!A142</f>
        <v>45888</v>
      </c>
      <c r="B142" s="8" t="str">
        <f>実績データ!C142</f>
        <v xml:space="preserve"> A駐車場（新宿駅前）</v>
      </c>
      <c r="C142" s="8" t="str">
        <f t="shared" si="6"/>
        <v>A駐車場（新宿駅前）</v>
      </c>
      <c r="D142" s="8">
        <f>実績データ!F142</f>
        <v>161</v>
      </c>
      <c r="E142" s="17">
        <f>実績データ!G142</f>
        <v>190720</v>
      </c>
      <c r="F142" s="18">
        <f>実績データ!H142</f>
        <v>0.57879356441489749</v>
      </c>
      <c r="G142" s="8">
        <f>実績データ!I142</f>
        <v>58</v>
      </c>
      <c r="H142" s="8" t="str">
        <f t="shared" si="7"/>
        <v>2025-08</v>
      </c>
      <c r="I142" s="8" t="str">
        <f t="shared" si="8"/>
        <v>火</v>
      </c>
    </row>
    <row r="143" spans="1:9" x14ac:dyDescent="0.15">
      <c r="A143" s="16">
        <f>実績データ!A143</f>
        <v>45889</v>
      </c>
      <c r="B143" s="8" t="str">
        <f>実績データ!C143</f>
        <v xml:space="preserve">B駐車場（渋谷南） </v>
      </c>
      <c r="C143" s="8" t="str">
        <f t="shared" si="6"/>
        <v>B駐車場（渋谷南）</v>
      </c>
      <c r="D143" s="8">
        <f>実績データ!F143</f>
        <v>125</v>
      </c>
      <c r="E143" s="17">
        <f>実績データ!G143</f>
        <v>166594</v>
      </c>
      <c r="F143" s="18">
        <f>実績データ!H143</f>
        <v>0.43524012279026281</v>
      </c>
      <c r="G143" s="8">
        <f>実績データ!I143</f>
        <v>85</v>
      </c>
      <c r="H143" s="8" t="str">
        <f t="shared" si="7"/>
        <v>2025-08</v>
      </c>
      <c r="I143" s="8" t="str">
        <f t="shared" si="8"/>
        <v>水</v>
      </c>
    </row>
    <row r="144" spans="1:9" x14ac:dyDescent="0.15">
      <c r="A144" s="16">
        <f>実績データ!A144</f>
        <v>45890</v>
      </c>
      <c r="B144" s="8" t="str">
        <f>実績データ!C144</f>
        <v>C駐車場（池袋西口）</v>
      </c>
      <c r="C144" s="8" t="str">
        <f t="shared" si="6"/>
        <v>C駐車場（池袋西口）</v>
      </c>
      <c r="D144" s="8">
        <f>実績データ!F144</f>
        <v>106</v>
      </c>
      <c r="E144" s="17">
        <f>実績データ!G144</f>
        <v>131045</v>
      </c>
      <c r="F144" s="18">
        <f>実績データ!H144</f>
        <v>0.41924248856464719</v>
      </c>
      <c r="G144" s="8">
        <f>実績データ!I144</f>
        <v>66</v>
      </c>
      <c r="H144" s="8" t="str">
        <f t="shared" si="7"/>
        <v>2025-08</v>
      </c>
      <c r="I144" s="8" t="str">
        <f t="shared" si="8"/>
        <v>木</v>
      </c>
    </row>
    <row r="145" spans="1:9" x14ac:dyDescent="0.15">
      <c r="A145" s="16">
        <f>実績データ!A145</f>
        <v>45891</v>
      </c>
      <c r="B145" s="8" t="str">
        <f>実績データ!C145</f>
        <v>A駐車場 (新宿駅前)</v>
      </c>
      <c r="C145" s="8" t="str">
        <f t="shared" si="6"/>
        <v>A駐車場（新宿駅前）</v>
      </c>
      <c r="D145" s="8">
        <f>実績データ!F145</f>
        <v>158</v>
      </c>
      <c r="E145" s="17">
        <f>実績データ!G145</f>
        <v>181178</v>
      </c>
      <c r="F145" s="18">
        <f>実績データ!H145</f>
        <v>0.61611282248805777</v>
      </c>
      <c r="G145" s="8">
        <f>実績データ!I145</f>
        <v>74</v>
      </c>
      <c r="H145" s="8" t="str">
        <f t="shared" si="7"/>
        <v>2025-08</v>
      </c>
      <c r="I145" s="8" t="str">
        <f t="shared" si="8"/>
        <v>金</v>
      </c>
    </row>
    <row r="146" spans="1:9" x14ac:dyDescent="0.15">
      <c r="A146" s="16">
        <f>実績データ!A146</f>
        <v>45892</v>
      </c>
      <c r="B146" s="8" t="str">
        <f>実績データ!C146</f>
        <v xml:space="preserve">D駐車場（横浜元町） </v>
      </c>
      <c r="C146" s="8" t="str">
        <f t="shared" si="6"/>
        <v>D駐車場（横浜元町）</v>
      </c>
      <c r="D146" s="8">
        <f>実績データ!F146</f>
        <v>101</v>
      </c>
      <c r="E146" s="17">
        <f>実績データ!G146</f>
        <v>132294</v>
      </c>
      <c r="F146" s="18">
        <f>実績データ!H146</f>
        <v>0.38858735737296862</v>
      </c>
      <c r="G146" s="8">
        <f>実績データ!I146</f>
        <v>53</v>
      </c>
      <c r="H146" s="8" t="str">
        <f t="shared" si="7"/>
        <v>2025-08</v>
      </c>
      <c r="I146" s="8" t="str">
        <f t="shared" si="8"/>
        <v>土</v>
      </c>
    </row>
    <row r="147" spans="1:9" x14ac:dyDescent="0.15">
      <c r="A147" s="16">
        <f>実績データ!A147</f>
        <v>45893</v>
      </c>
      <c r="B147" s="8" t="str">
        <f>実績データ!C147</f>
        <v xml:space="preserve"> C駐車場（池袋西口）</v>
      </c>
      <c r="C147" s="8" t="str">
        <f t="shared" si="6"/>
        <v>C駐車場（池袋西口）</v>
      </c>
      <c r="D147" s="8">
        <f>実績データ!F147</f>
        <v>139</v>
      </c>
      <c r="E147" s="17">
        <f>実績データ!G147</f>
        <v>174062</v>
      </c>
      <c r="F147" s="18">
        <f>実績データ!H147</f>
        <v>0.55724234703107633</v>
      </c>
      <c r="G147" s="8">
        <f>実績データ!I147</f>
        <v>75</v>
      </c>
      <c r="H147" s="8" t="str">
        <f t="shared" si="7"/>
        <v>2025-08</v>
      </c>
      <c r="I147" s="8" t="str">
        <f t="shared" si="8"/>
        <v>日</v>
      </c>
    </row>
    <row r="148" spans="1:9" x14ac:dyDescent="0.15">
      <c r="A148" s="16">
        <f>実績データ!A148</f>
        <v>45894</v>
      </c>
      <c r="B148" s="8" t="str">
        <f>実績データ!C148</f>
        <v>A駐車場 (新宿駅前)</v>
      </c>
      <c r="C148" s="8" t="str">
        <f t="shared" si="6"/>
        <v>A駐車場（新宿駅前）</v>
      </c>
      <c r="D148" s="8">
        <f>実績データ!F148</f>
        <v>159</v>
      </c>
      <c r="E148" s="17">
        <f>実績データ!G148</f>
        <v>178350</v>
      </c>
      <c r="F148" s="18">
        <f>実績データ!H148</f>
        <v>0.63532340624964145</v>
      </c>
      <c r="G148" s="8">
        <f>実績データ!I148</f>
        <v>57</v>
      </c>
      <c r="H148" s="8" t="str">
        <f t="shared" si="7"/>
        <v>2025-08</v>
      </c>
      <c r="I148" s="8" t="str">
        <f t="shared" si="8"/>
        <v>月</v>
      </c>
    </row>
    <row r="149" spans="1:9" x14ac:dyDescent="0.15">
      <c r="A149" s="16">
        <f>実績データ!A149</f>
        <v>45895</v>
      </c>
      <c r="B149" s="8" t="str">
        <f>実績データ!C149</f>
        <v>A駐車場（新宿駅前）</v>
      </c>
      <c r="C149" s="8" t="str">
        <f t="shared" si="6"/>
        <v>A駐車場（新宿駅前）</v>
      </c>
      <c r="D149" s="8">
        <f>実績データ!F149</f>
        <v>169</v>
      </c>
      <c r="E149" s="17">
        <f>実績データ!G149</f>
        <v>223112</v>
      </c>
      <c r="F149" s="18">
        <f>実績データ!H149</f>
        <v>0.63844768405469676</v>
      </c>
      <c r="G149" s="8">
        <f>実績データ!I149</f>
        <v>78</v>
      </c>
      <c r="H149" s="8" t="str">
        <f t="shared" si="7"/>
        <v>2025-08</v>
      </c>
      <c r="I149" s="8" t="str">
        <f t="shared" si="8"/>
        <v>火</v>
      </c>
    </row>
    <row r="150" spans="1:9" x14ac:dyDescent="0.15">
      <c r="A150" s="16">
        <f>実績データ!A150</f>
        <v>45896</v>
      </c>
      <c r="B150" s="8" t="str">
        <f>実績データ!C150</f>
        <v xml:space="preserve">D駐車場（横浜元町） </v>
      </c>
      <c r="C150" s="8" t="str">
        <f t="shared" si="6"/>
        <v>D駐車場（横浜元町）</v>
      </c>
      <c r="D150" s="8">
        <f>実績データ!F150</f>
        <v>134</v>
      </c>
      <c r="E150" s="17">
        <f>実績データ!G150</f>
        <v>165131</v>
      </c>
      <c r="F150" s="18">
        <f>実績データ!H150</f>
        <v>0.53050009027380685</v>
      </c>
      <c r="G150" s="8">
        <f>実績データ!I150</f>
        <v>69</v>
      </c>
      <c r="H150" s="8" t="str">
        <f t="shared" si="7"/>
        <v>2025-08</v>
      </c>
      <c r="I150" s="8" t="str">
        <f t="shared" si="8"/>
        <v>水</v>
      </c>
    </row>
    <row r="151" spans="1:9" x14ac:dyDescent="0.15">
      <c r="A151" s="16">
        <f>実績データ!A151</f>
        <v>45897</v>
      </c>
      <c r="B151" s="8" t="str">
        <f>実績データ!C151</f>
        <v>D駐車場（横浜元町）</v>
      </c>
      <c r="C151" s="8" t="str">
        <f t="shared" si="6"/>
        <v>D駐車場（横浜元町）</v>
      </c>
      <c r="D151" s="8">
        <f>実績データ!F151</f>
        <v>98</v>
      </c>
      <c r="E151" s="17">
        <f>実績データ!G151</f>
        <v>124365</v>
      </c>
      <c r="F151" s="18">
        <f>実績データ!H151</f>
        <v>0.36616193276965542</v>
      </c>
      <c r="G151" s="8">
        <f>実績データ!I151</f>
        <v>56</v>
      </c>
      <c r="H151" s="8" t="str">
        <f t="shared" si="7"/>
        <v>2025-08</v>
      </c>
      <c r="I151" s="8" t="str">
        <f t="shared" si="8"/>
        <v>木</v>
      </c>
    </row>
    <row r="152" spans="1:9" x14ac:dyDescent="0.15">
      <c r="A152" s="16">
        <f>実績データ!A152</f>
        <v>45898</v>
      </c>
      <c r="B152" s="8" t="str">
        <f>実績データ!C152</f>
        <v xml:space="preserve">B駐車場（渋谷南） </v>
      </c>
      <c r="C152" s="8" t="str">
        <f t="shared" si="6"/>
        <v>B駐車場（渋谷南）</v>
      </c>
      <c r="D152" s="8">
        <f>実績データ!F152</f>
        <v>152</v>
      </c>
      <c r="E152" s="17">
        <f>実績データ!G152</f>
        <v>184647</v>
      </c>
      <c r="F152" s="18">
        <f>実績データ!H152</f>
        <v>0.6176190624985366</v>
      </c>
      <c r="G152" s="8">
        <f>実績データ!I152</f>
        <v>82</v>
      </c>
      <c r="H152" s="8" t="str">
        <f t="shared" si="7"/>
        <v>2025-08</v>
      </c>
      <c r="I152" s="8" t="str">
        <f t="shared" si="8"/>
        <v>金</v>
      </c>
    </row>
    <row r="153" spans="1:9" x14ac:dyDescent="0.15">
      <c r="A153" s="16">
        <f>実績データ!A153</f>
        <v>45899</v>
      </c>
      <c r="B153" s="8" t="str">
        <f>実績データ!C153</f>
        <v>D駐車場 (横浜元町)</v>
      </c>
      <c r="C153" s="8" t="str">
        <f t="shared" si="6"/>
        <v>D駐車場（横浜元町）</v>
      </c>
      <c r="D153" s="8">
        <f>実績データ!F153</f>
        <v>111</v>
      </c>
      <c r="E153" s="17">
        <f>実績データ!G153</f>
        <v>149781</v>
      </c>
      <c r="F153" s="18">
        <f>実績データ!H153</f>
        <v>0.4549378889928502</v>
      </c>
      <c r="G153" s="8">
        <f>実績データ!I153</f>
        <v>75</v>
      </c>
      <c r="H153" s="8" t="str">
        <f t="shared" si="7"/>
        <v>2025-08</v>
      </c>
      <c r="I153" s="8" t="str">
        <f t="shared" si="8"/>
        <v>土</v>
      </c>
    </row>
    <row r="154" spans="1:9" x14ac:dyDescent="0.15">
      <c r="A154" s="16">
        <f>実績データ!A154</f>
        <v>45900</v>
      </c>
      <c r="B154" s="8" t="str">
        <f>実績データ!C154</f>
        <v>C駐車場（池袋西口）</v>
      </c>
      <c r="C154" s="8" t="str">
        <f t="shared" si="6"/>
        <v>C駐車場（池袋西口）</v>
      </c>
      <c r="D154" s="8">
        <f>実績データ!F154</f>
        <v>138</v>
      </c>
      <c r="E154" s="17">
        <f>実績データ!G154</f>
        <v>167608</v>
      </c>
      <c r="F154" s="18">
        <f>実績データ!H154</f>
        <v>0.52724072194483218</v>
      </c>
      <c r="G154" s="8">
        <f>実績データ!I154</f>
        <v>67</v>
      </c>
      <c r="H154" s="8" t="str">
        <f t="shared" si="7"/>
        <v>2025-08</v>
      </c>
      <c r="I154" s="8" t="str">
        <f t="shared" si="8"/>
        <v>日</v>
      </c>
    </row>
    <row r="155" spans="1:9" x14ac:dyDescent="0.15">
      <c r="A155" s="16">
        <f>実績データ!A155</f>
        <v>45901</v>
      </c>
      <c r="B155" s="8" t="str">
        <f>実績データ!C155</f>
        <v xml:space="preserve"> C駐車場（池袋西口）</v>
      </c>
      <c r="C155" s="8" t="str">
        <f t="shared" si="6"/>
        <v>C駐車場（池袋西口）</v>
      </c>
      <c r="D155" s="8">
        <f>実績データ!F155</f>
        <v>109</v>
      </c>
      <c r="E155" s="17">
        <f>実績データ!G155</f>
        <v>135591</v>
      </c>
      <c r="F155" s="18">
        <f>実績データ!H155</f>
        <v>0.3820873183283563</v>
      </c>
      <c r="G155" s="8">
        <f>実績データ!I155</f>
        <v>68</v>
      </c>
      <c r="H155" s="8" t="str">
        <f t="shared" si="7"/>
        <v>2025-09</v>
      </c>
      <c r="I155" s="8" t="str">
        <f t="shared" si="8"/>
        <v>月</v>
      </c>
    </row>
    <row r="156" spans="1:9" x14ac:dyDescent="0.15">
      <c r="A156" s="16">
        <f>実績データ!A156</f>
        <v>45902</v>
      </c>
      <c r="B156" s="8" t="str">
        <f>実績データ!C156</f>
        <v xml:space="preserve"> C駐車場（池袋西口）</v>
      </c>
      <c r="C156" s="8" t="str">
        <f t="shared" si="6"/>
        <v>C駐車場（池袋西口）</v>
      </c>
      <c r="D156" s="8">
        <f>実績データ!F156</f>
        <v>143</v>
      </c>
      <c r="E156" s="17">
        <f>実績データ!G156</f>
        <v>180615</v>
      </c>
      <c r="F156" s="18">
        <f>実績データ!H156</f>
        <v>0.55656919093286139</v>
      </c>
      <c r="G156" s="8">
        <f>実績データ!I156</f>
        <v>68</v>
      </c>
      <c r="H156" s="8" t="str">
        <f t="shared" si="7"/>
        <v>2025-09</v>
      </c>
      <c r="I156" s="8" t="str">
        <f t="shared" si="8"/>
        <v>火</v>
      </c>
    </row>
    <row r="157" spans="1:9" x14ac:dyDescent="0.15">
      <c r="A157" s="16">
        <f>実績データ!A157</f>
        <v>45903</v>
      </c>
      <c r="B157" s="8" t="str">
        <f>実績データ!C157</f>
        <v>D駐車場（横浜元町）</v>
      </c>
      <c r="C157" s="8" t="str">
        <f t="shared" si="6"/>
        <v>D駐車場（横浜元町）</v>
      </c>
      <c r="D157" s="8">
        <f>実績データ!F157</f>
        <v>102</v>
      </c>
      <c r="E157" s="17">
        <f>実績データ!G157</f>
        <v>107262</v>
      </c>
      <c r="F157" s="18">
        <f>実績データ!H157</f>
        <v>0.39769282988267579</v>
      </c>
      <c r="G157" s="8">
        <f>実績データ!I157</f>
        <v>71</v>
      </c>
      <c r="H157" s="8" t="str">
        <f t="shared" si="7"/>
        <v>2025-09</v>
      </c>
      <c r="I157" s="8" t="str">
        <f t="shared" si="8"/>
        <v>水</v>
      </c>
    </row>
    <row r="158" spans="1:9" x14ac:dyDescent="0.15">
      <c r="A158" s="16">
        <f>実績データ!A158</f>
        <v>45904</v>
      </c>
      <c r="B158" s="8" t="str">
        <f>実績データ!C158</f>
        <v xml:space="preserve"> C駐車場（池袋西口）</v>
      </c>
      <c r="C158" s="8" t="str">
        <f t="shared" si="6"/>
        <v>C駐車場（池袋西口）</v>
      </c>
      <c r="D158" s="8">
        <f>実績データ!F158</f>
        <v>141</v>
      </c>
      <c r="E158" s="17">
        <f>実績データ!G158</f>
        <v>179964</v>
      </c>
      <c r="F158" s="18">
        <f>実績データ!H158</f>
        <v>0.54426678429051722</v>
      </c>
      <c r="G158" s="8">
        <f>実績データ!I158</f>
        <v>78</v>
      </c>
      <c r="H158" s="8" t="str">
        <f t="shared" si="7"/>
        <v>2025-09</v>
      </c>
      <c r="I158" s="8" t="str">
        <f t="shared" si="8"/>
        <v>木</v>
      </c>
    </row>
    <row r="159" spans="1:9" x14ac:dyDescent="0.15">
      <c r="A159" s="16">
        <f>実績データ!A159</f>
        <v>45905</v>
      </c>
      <c r="B159" s="8" t="str">
        <f>実績データ!C159</f>
        <v xml:space="preserve"> C駐車場（池袋西口）</v>
      </c>
      <c r="C159" s="8" t="str">
        <f t="shared" si="6"/>
        <v>C駐車場（池袋西口）</v>
      </c>
      <c r="D159" s="8">
        <f>実績データ!F159</f>
        <v>117</v>
      </c>
      <c r="E159" s="17">
        <f>実績データ!G159</f>
        <v>159752</v>
      </c>
      <c r="F159" s="18">
        <f>実績データ!H159</f>
        <v>0.4939720989035894</v>
      </c>
      <c r="G159" s="8">
        <f>実績データ!I159</f>
        <v>73</v>
      </c>
      <c r="H159" s="8" t="str">
        <f t="shared" si="7"/>
        <v>2025-09</v>
      </c>
      <c r="I159" s="8" t="str">
        <f t="shared" si="8"/>
        <v>金</v>
      </c>
    </row>
    <row r="160" spans="1:9" x14ac:dyDescent="0.15">
      <c r="A160" s="16">
        <f>実績データ!A160</f>
        <v>45906</v>
      </c>
      <c r="B160" s="8" t="str">
        <f>実績データ!C160</f>
        <v>B駐車場（渋谷南）</v>
      </c>
      <c r="C160" s="8" t="str">
        <f t="shared" si="6"/>
        <v>B駐車場（渋谷南）</v>
      </c>
      <c r="D160" s="8">
        <f>実績データ!F160</f>
        <v>164</v>
      </c>
      <c r="E160" s="17">
        <f>実績データ!G160</f>
        <v>210087</v>
      </c>
      <c r="F160" s="18">
        <f>実績データ!H160</f>
        <v>0.64623136421845007</v>
      </c>
      <c r="G160" s="8">
        <f>実績データ!I160</f>
        <v>88</v>
      </c>
      <c r="H160" s="8" t="str">
        <f t="shared" si="7"/>
        <v>2025-09</v>
      </c>
      <c r="I160" s="8" t="str">
        <f t="shared" si="8"/>
        <v>土</v>
      </c>
    </row>
    <row r="161" spans="1:9" x14ac:dyDescent="0.15">
      <c r="A161" s="16">
        <f>実績データ!A161</f>
        <v>45907</v>
      </c>
      <c r="B161" s="8" t="str">
        <f>実績データ!C161</f>
        <v>D駐車場 (横浜元町)</v>
      </c>
      <c r="C161" s="8" t="str">
        <f t="shared" si="6"/>
        <v>D駐車場（横浜元町）</v>
      </c>
      <c r="D161" s="8">
        <f>実績データ!F161</f>
        <v>116</v>
      </c>
      <c r="E161" s="17">
        <f>実績データ!G161</f>
        <v>115458</v>
      </c>
      <c r="F161" s="18">
        <f>実績データ!H161</f>
        <v>0.37072498357151579</v>
      </c>
      <c r="G161" s="8">
        <f>実績データ!I161</f>
        <v>75</v>
      </c>
      <c r="H161" s="8" t="str">
        <f t="shared" si="7"/>
        <v>2025-09</v>
      </c>
      <c r="I161" s="8" t="str">
        <f t="shared" si="8"/>
        <v>日</v>
      </c>
    </row>
    <row r="162" spans="1:9" x14ac:dyDescent="0.15">
      <c r="A162" s="16">
        <f>実績データ!A162</f>
        <v>45908</v>
      </c>
      <c r="B162" s="8" t="str">
        <f>実績データ!C162</f>
        <v xml:space="preserve">B駐車場（渋谷南） </v>
      </c>
      <c r="C162" s="8" t="str">
        <f t="shared" si="6"/>
        <v>B駐車場（渋谷南）</v>
      </c>
      <c r="D162" s="8">
        <f>実績データ!F162</f>
        <v>132</v>
      </c>
      <c r="E162" s="17">
        <f>実績データ!G162</f>
        <v>168668</v>
      </c>
      <c r="F162" s="18">
        <f>実績データ!H162</f>
        <v>0.46534793359187321</v>
      </c>
      <c r="G162" s="8">
        <f>実績データ!I162</f>
        <v>67</v>
      </c>
      <c r="H162" s="8" t="str">
        <f t="shared" si="7"/>
        <v>2025-09</v>
      </c>
      <c r="I162" s="8" t="str">
        <f t="shared" si="8"/>
        <v>月</v>
      </c>
    </row>
    <row r="163" spans="1:9" x14ac:dyDescent="0.15">
      <c r="A163" s="16">
        <f>実績データ!A163</f>
        <v>45909</v>
      </c>
      <c r="B163" s="8" t="str">
        <f>実績データ!C163</f>
        <v>C駐車場 (池袋西口)</v>
      </c>
      <c r="C163" s="8" t="str">
        <f t="shared" si="6"/>
        <v>C駐車場（池袋西口）</v>
      </c>
      <c r="D163" s="8">
        <f>実績データ!F163</f>
        <v>106</v>
      </c>
      <c r="E163" s="17">
        <f>実績データ!G163</f>
        <v>126931</v>
      </c>
      <c r="F163" s="18">
        <f>実績データ!H163</f>
        <v>0.38814925920591808</v>
      </c>
      <c r="G163" s="8">
        <f>実績データ!I163</f>
        <v>72</v>
      </c>
      <c r="H163" s="8" t="str">
        <f t="shared" si="7"/>
        <v>2025-09</v>
      </c>
      <c r="I163" s="8" t="str">
        <f t="shared" si="8"/>
        <v>火</v>
      </c>
    </row>
    <row r="164" spans="1:9" x14ac:dyDescent="0.15">
      <c r="A164" s="16">
        <f>実績データ!A164</f>
        <v>45910</v>
      </c>
      <c r="B164" s="8" t="str">
        <f>実績データ!C164</f>
        <v xml:space="preserve">D駐車場（横浜元町） </v>
      </c>
      <c r="C164" s="8" t="str">
        <f t="shared" si="6"/>
        <v>D駐車場（横浜元町）</v>
      </c>
      <c r="D164" s="8">
        <f>実績データ!F164</f>
        <v>67</v>
      </c>
      <c r="E164" s="17">
        <f>実績データ!G164</f>
        <v>63978</v>
      </c>
      <c r="F164" s="18">
        <f>実績データ!H164</f>
        <v>0.32</v>
      </c>
      <c r="G164" s="8">
        <f>実績データ!I164</f>
        <v>67</v>
      </c>
      <c r="H164" s="8" t="str">
        <f t="shared" si="7"/>
        <v>2025-09</v>
      </c>
      <c r="I164" s="8" t="str">
        <f t="shared" si="8"/>
        <v>水</v>
      </c>
    </row>
    <row r="165" spans="1:9" x14ac:dyDescent="0.15">
      <c r="A165" s="16">
        <f>実績データ!A165</f>
        <v>45911</v>
      </c>
      <c r="B165" s="8" t="str">
        <f>実績データ!C165</f>
        <v>B駐車場 (渋谷南)</v>
      </c>
      <c r="C165" s="8" t="str">
        <f t="shared" si="6"/>
        <v>B駐車場（渋谷南）</v>
      </c>
      <c r="D165" s="8">
        <f>実績データ!F165</f>
        <v>169</v>
      </c>
      <c r="E165" s="17">
        <f>実績データ!G165</f>
        <v>206112</v>
      </c>
      <c r="F165" s="18">
        <f>実績データ!H165</f>
        <v>0.67493325559989814</v>
      </c>
      <c r="G165" s="8">
        <f>実績データ!I165</f>
        <v>63</v>
      </c>
      <c r="H165" s="8" t="str">
        <f t="shared" si="7"/>
        <v>2025-09</v>
      </c>
      <c r="I165" s="8" t="str">
        <f t="shared" si="8"/>
        <v>木</v>
      </c>
    </row>
    <row r="166" spans="1:9" x14ac:dyDescent="0.15">
      <c r="A166" s="16">
        <f>実績データ!A166</f>
        <v>45912</v>
      </c>
      <c r="B166" s="8" t="str">
        <f>実績データ!C166</f>
        <v xml:space="preserve"> A駐車場（新宿駅前）</v>
      </c>
      <c r="C166" s="8" t="str">
        <f t="shared" si="6"/>
        <v>A駐車場（新宿駅前）</v>
      </c>
      <c r="D166" s="8">
        <f>実績データ!F166</f>
        <v>155</v>
      </c>
      <c r="E166" s="17">
        <f>実績データ!G166</f>
        <v>201976</v>
      </c>
      <c r="F166" s="18">
        <f>実績データ!H166</f>
        <v>0.55662951380870018</v>
      </c>
      <c r="G166" s="8">
        <f>実績データ!I166</f>
        <v>75</v>
      </c>
      <c r="H166" s="8" t="str">
        <f t="shared" si="7"/>
        <v>2025-09</v>
      </c>
      <c r="I166" s="8" t="str">
        <f t="shared" si="8"/>
        <v>金</v>
      </c>
    </row>
    <row r="167" spans="1:9" x14ac:dyDescent="0.15">
      <c r="A167" s="16">
        <f>実績データ!A167</f>
        <v>45913</v>
      </c>
      <c r="B167" s="8" t="str">
        <f>実績データ!C167</f>
        <v>C駐車場（池袋西口）</v>
      </c>
      <c r="C167" s="8" t="str">
        <f t="shared" si="6"/>
        <v>C駐車場（池袋西口）</v>
      </c>
      <c r="D167" s="8">
        <f>実績データ!F167</f>
        <v>95</v>
      </c>
      <c r="E167" s="17">
        <f>実績データ!G167</f>
        <v>126508</v>
      </c>
      <c r="F167" s="18">
        <f>実績データ!H167</f>
        <v>0.36042510283664447</v>
      </c>
      <c r="G167" s="8">
        <f>実績データ!I167</f>
        <v>65</v>
      </c>
      <c r="H167" s="8" t="str">
        <f t="shared" si="7"/>
        <v>2025-09</v>
      </c>
      <c r="I167" s="8" t="str">
        <f t="shared" si="8"/>
        <v>土</v>
      </c>
    </row>
    <row r="168" spans="1:9" x14ac:dyDescent="0.15">
      <c r="A168" s="16">
        <f>実績データ!A168</f>
        <v>45914</v>
      </c>
      <c r="B168" s="8" t="str">
        <f>実績データ!C168</f>
        <v xml:space="preserve"> A駐車場（新宿駅前）</v>
      </c>
      <c r="C168" s="8" t="str">
        <f t="shared" si="6"/>
        <v>A駐車場（新宿駅前）</v>
      </c>
      <c r="D168" s="8">
        <f>実績データ!F168</f>
        <v>150</v>
      </c>
      <c r="E168" s="17">
        <f>実績データ!G168</f>
        <v>178774</v>
      </c>
      <c r="F168" s="18">
        <f>実績データ!H168</f>
        <v>0.57606582035047338</v>
      </c>
      <c r="G168" s="8">
        <f>実績データ!I168</f>
        <v>87</v>
      </c>
      <c r="H168" s="8" t="str">
        <f t="shared" si="7"/>
        <v>2025-09</v>
      </c>
      <c r="I168" s="8" t="str">
        <f t="shared" si="8"/>
        <v>日</v>
      </c>
    </row>
    <row r="169" spans="1:9" x14ac:dyDescent="0.15">
      <c r="A169" s="16">
        <f>実績データ!A169</f>
        <v>45915</v>
      </c>
      <c r="B169" s="8" t="str">
        <f>実績データ!C169</f>
        <v>B駐車場 (渋谷南)</v>
      </c>
      <c r="C169" s="8" t="str">
        <f t="shared" si="6"/>
        <v>B駐車場（渋谷南）</v>
      </c>
      <c r="D169" s="8">
        <f>実績データ!F169</f>
        <v>163</v>
      </c>
      <c r="E169" s="17">
        <f>実績データ!G169</f>
        <v>196953</v>
      </c>
      <c r="F169" s="18">
        <f>実績データ!H169</f>
        <v>0.59822484054000002</v>
      </c>
      <c r="G169" s="8">
        <f>実績データ!I169</f>
        <v>68</v>
      </c>
      <c r="H169" s="8" t="str">
        <f t="shared" si="7"/>
        <v>2025-09</v>
      </c>
      <c r="I169" s="8" t="str">
        <f t="shared" si="8"/>
        <v>月</v>
      </c>
    </row>
    <row r="170" spans="1:9" x14ac:dyDescent="0.15">
      <c r="A170" s="16">
        <f>実績データ!A170</f>
        <v>45916</v>
      </c>
      <c r="B170" s="8" t="str">
        <f>実績データ!C170</f>
        <v>C駐車場 (池袋西口)</v>
      </c>
      <c r="C170" s="8" t="str">
        <f t="shared" si="6"/>
        <v>C駐車場（池袋西口）</v>
      </c>
      <c r="D170" s="8">
        <f>実績データ!F170</f>
        <v>86</v>
      </c>
      <c r="E170" s="17">
        <f>実績データ!G170</f>
        <v>96104</v>
      </c>
      <c r="F170" s="18">
        <f>実績データ!H170</f>
        <v>0.32210578812253032</v>
      </c>
      <c r="G170" s="8">
        <f>実績データ!I170</f>
        <v>71</v>
      </c>
      <c r="H170" s="8" t="str">
        <f t="shared" si="7"/>
        <v>2025-09</v>
      </c>
      <c r="I170" s="8" t="str">
        <f t="shared" si="8"/>
        <v>火</v>
      </c>
    </row>
    <row r="171" spans="1:9" x14ac:dyDescent="0.15">
      <c r="A171" s="16">
        <f>実績データ!A171</f>
        <v>45917</v>
      </c>
      <c r="B171" s="8" t="str">
        <f>実績データ!C171</f>
        <v>C駐車場（池袋西口）</v>
      </c>
      <c r="C171" s="8" t="str">
        <f t="shared" si="6"/>
        <v>C駐車場（池袋西口）</v>
      </c>
      <c r="D171" s="8">
        <f>実績データ!F171</f>
        <v>125</v>
      </c>
      <c r="E171" s="17">
        <f>実績データ!G171</f>
        <v>149928</v>
      </c>
      <c r="F171" s="18">
        <f>実績データ!H171</f>
        <v>0.51128159998042833</v>
      </c>
      <c r="G171" s="8">
        <f>実績データ!I171</f>
        <v>65</v>
      </c>
      <c r="H171" s="8" t="str">
        <f t="shared" si="7"/>
        <v>2025-09</v>
      </c>
      <c r="I171" s="8" t="str">
        <f t="shared" si="8"/>
        <v>水</v>
      </c>
    </row>
    <row r="172" spans="1:9" x14ac:dyDescent="0.15">
      <c r="A172" s="16">
        <f>実績データ!A172</f>
        <v>45918</v>
      </c>
      <c r="B172" s="8" t="str">
        <f>実績データ!C172</f>
        <v>B駐車場 (渋谷南)</v>
      </c>
      <c r="C172" s="8" t="str">
        <f t="shared" si="6"/>
        <v>B駐車場（渋谷南）</v>
      </c>
      <c r="D172" s="8">
        <f>実績データ!F172</f>
        <v>158</v>
      </c>
      <c r="E172" s="17">
        <f>実績データ!G172</f>
        <v>204229</v>
      </c>
      <c r="F172" s="18">
        <f>実績データ!H172</f>
        <v>0.61757720311130671</v>
      </c>
      <c r="G172" s="8">
        <f>実績データ!I172</f>
        <v>68</v>
      </c>
      <c r="H172" s="8" t="str">
        <f t="shared" si="7"/>
        <v>2025-09</v>
      </c>
      <c r="I172" s="8" t="str">
        <f t="shared" si="8"/>
        <v>木</v>
      </c>
    </row>
    <row r="173" spans="1:9" x14ac:dyDescent="0.15">
      <c r="A173" s="16">
        <f>実績データ!A173</f>
        <v>45919</v>
      </c>
      <c r="B173" s="8" t="str">
        <f>実績データ!C173</f>
        <v>B駐車場 (渋谷南)</v>
      </c>
      <c r="C173" s="8" t="str">
        <f t="shared" si="6"/>
        <v>B駐車場（渋谷南）</v>
      </c>
      <c r="D173" s="8">
        <f>実績データ!F173</f>
        <v>141</v>
      </c>
      <c r="E173" s="17">
        <f>実績データ!G173</f>
        <v>170854</v>
      </c>
      <c r="F173" s="18">
        <f>実績データ!H173</f>
        <v>0.5649459655829524</v>
      </c>
      <c r="G173" s="8">
        <f>実績データ!I173</f>
        <v>89</v>
      </c>
      <c r="H173" s="8" t="str">
        <f t="shared" si="7"/>
        <v>2025-09</v>
      </c>
      <c r="I173" s="8" t="str">
        <f t="shared" si="8"/>
        <v>金</v>
      </c>
    </row>
    <row r="174" spans="1:9" x14ac:dyDescent="0.15">
      <c r="A174" s="16">
        <f>実績データ!A174</f>
        <v>45920</v>
      </c>
      <c r="B174" s="8" t="str">
        <f>実績データ!C174</f>
        <v>A駐車場 (新宿駅前)</v>
      </c>
      <c r="C174" s="8" t="str">
        <f t="shared" si="6"/>
        <v>A駐車場（新宿駅前）</v>
      </c>
      <c r="D174" s="8">
        <f>実績データ!F174</f>
        <v>143</v>
      </c>
      <c r="E174" s="17">
        <f>実績データ!G174</f>
        <v>184036</v>
      </c>
      <c r="F174" s="18">
        <f>実績データ!H174</f>
        <v>0.55296909676708716</v>
      </c>
      <c r="G174" s="8">
        <f>実績データ!I174</f>
        <v>80</v>
      </c>
      <c r="H174" s="8" t="str">
        <f t="shared" si="7"/>
        <v>2025-09</v>
      </c>
      <c r="I174" s="8" t="str">
        <f t="shared" si="8"/>
        <v>土</v>
      </c>
    </row>
    <row r="175" spans="1:9" x14ac:dyDescent="0.15">
      <c r="A175" s="16">
        <f>実績データ!A175</f>
        <v>45921</v>
      </c>
      <c r="B175" s="8" t="str">
        <f>実績データ!C175</f>
        <v xml:space="preserve">B駐車場（渋谷南） </v>
      </c>
      <c r="C175" s="8" t="str">
        <f t="shared" si="6"/>
        <v>B駐車場（渋谷南）</v>
      </c>
      <c r="D175" s="8">
        <f>実績データ!F175</f>
        <v>146</v>
      </c>
      <c r="E175" s="17">
        <f>実績データ!G175</f>
        <v>178849</v>
      </c>
      <c r="F175" s="18">
        <f>実績データ!H175</f>
        <v>0.57571863489301889</v>
      </c>
      <c r="G175" s="8">
        <f>実績データ!I175</f>
        <v>69</v>
      </c>
      <c r="H175" s="8" t="str">
        <f t="shared" si="7"/>
        <v>2025-09</v>
      </c>
      <c r="I175" s="8" t="str">
        <f t="shared" si="8"/>
        <v>日</v>
      </c>
    </row>
    <row r="176" spans="1:9" x14ac:dyDescent="0.15">
      <c r="A176" s="16">
        <f>実績データ!A176</f>
        <v>45922</v>
      </c>
      <c r="B176" s="8" t="str">
        <f>実績データ!C176</f>
        <v>D駐車場（横浜元町）</v>
      </c>
      <c r="C176" s="8" t="str">
        <f t="shared" si="6"/>
        <v>D駐車場（横浜元町）</v>
      </c>
      <c r="D176" s="8">
        <f>実績データ!F176</f>
        <v>109</v>
      </c>
      <c r="E176" s="17">
        <f>実績データ!G176</f>
        <v>106861</v>
      </c>
      <c r="F176" s="18">
        <f>実績データ!H176</f>
        <v>0.38278233942287582</v>
      </c>
      <c r="G176" s="8">
        <f>実績データ!I176</f>
        <v>69</v>
      </c>
      <c r="H176" s="8" t="str">
        <f t="shared" si="7"/>
        <v>2025-09</v>
      </c>
      <c r="I176" s="8" t="str">
        <f t="shared" si="8"/>
        <v>月</v>
      </c>
    </row>
    <row r="177" spans="1:9" x14ac:dyDescent="0.15">
      <c r="A177" s="16">
        <f>実績データ!A177</f>
        <v>45923</v>
      </c>
      <c r="B177" s="8" t="str">
        <f>実績データ!C177</f>
        <v xml:space="preserve"> C駐車場（池袋西口）</v>
      </c>
      <c r="C177" s="8" t="str">
        <f t="shared" si="6"/>
        <v>C駐車場（池袋西口）</v>
      </c>
      <c r="D177" s="8">
        <f>実績データ!F177</f>
        <v>129</v>
      </c>
      <c r="E177" s="17">
        <f>実績データ!G177</f>
        <v>157932</v>
      </c>
      <c r="F177" s="18">
        <f>実績データ!H177</f>
        <v>0.43979392084140861</v>
      </c>
      <c r="G177" s="8">
        <f>実績データ!I177</f>
        <v>81</v>
      </c>
      <c r="H177" s="8" t="str">
        <f t="shared" si="7"/>
        <v>2025-09</v>
      </c>
      <c r="I177" s="8" t="str">
        <f t="shared" si="8"/>
        <v>火</v>
      </c>
    </row>
    <row r="178" spans="1:9" x14ac:dyDescent="0.15">
      <c r="A178" s="16">
        <f>実績データ!A178</f>
        <v>45924</v>
      </c>
      <c r="B178" s="8" t="str">
        <f>実績データ!C178</f>
        <v xml:space="preserve">B駐車場（渋谷南） </v>
      </c>
      <c r="C178" s="8" t="str">
        <f t="shared" si="6"/>
        <v>B駐車場（渋谷南）</v>
      </c>
      <c r="D178" s="8">
        <f>実績データ!F178</f>
        <v>144</v>
      </c>
      <c r="E178" s="17">
        <f>実績データ!G178</f>
        <v>204347</v>
      </c>
      <c r="F178" s="18">
        <f>実績データ!H178</f>
        <v>0.57641663594098624</v>
      </c>
      <c r="G178" s="8">
        <f>実績データ!I178</f>
        <v>84</v>
      </c>
      <c r="H178" s="8" t="str">
        <f t="shared" si="7"/>
        <v>2025-09</v>
      </c>
      <c r="I178" s="8" t="str">
        <f t="shared" si="8"/>
        <v>水</v>
      </c>
    </row>
    <row r="179" spans="1:9" x14ac:dyDescent="0.15">
      <c r="A179" s="16">
        <f>実績データ!A179</f>
        <v>45925</v>
      </c>
      <c r="B179" s="8" t="str">
        <f>実績データ!C179</f>
        <v xml:space="preserve"> A駐車場（新宿駅前）</v>
      </c>
      <c r="C179" s="8" t="str">
        <f t="shared" si="6"/>
        <v>A駐車場（新宿駅前）</v>
      </c>
      <c r="D179" s="8">
        <f>実績データ!F179</f>
        <v>138</v>
      </c>
      <c r="E179" s="17">
        <f>実績データ!G179</f>
        <v>174505</v>
      </c>
      <c r="F179" s="18">
        <f>実績データ!H179</f>
        <v>0.50647857128424667</v>
      </c>
      <c r="G179" s="8">
        <f>実績データ!I179</f>
        <v>77</v>
      </c>
      <c r="H179" s="8" t="str">
        <f t="shared" si="7"/>
        <v>2025-09</v>
      </c>
      <c r="I179" s="8" t="str">
        <f t="shared" si="8"/>
        <v>木</v>
      </c>
    </row>
    <row r="180" spans="1:9" x14ac:dyDescent="0.15">
      <c r="A180" s="16">
        <f>実績データ!A180</f>
        <v>45926</v>
      </c>
      <c r="B180" s="8" t="str">
        <f>実績データ!C180</f>
        <v>A駐車場（新宿駅前）</v>
      </c>
      <c r="C180" s="8" t="str">
        <f t="shared" si="6"/>
        <v>A駐車場（新宿駅前）</v>
      </c>
      <c r="D180" s="8">
        <f>実績データ!F180</f>
        <v>150</v>
      </c>
      <c r="E180" s="17">
        <f>実績データ!G180</f>
        <v>187979</v>
      </c>
      <c r="F180" s="18">
        <f>実績データ!H180</f>
        <v>0.56996539127619206</v>
      </c>
      <c r="G180" s="8">
        <f>実績データ!I180</f>
        <v>64</v>
      </c>
      <c r="H180" s="8" t="str">
        <f t="shared" si="7"/>
        <v>2025-09</v>
      </c>
      <c r="I180" s="8" t="str">
        <f t="shared" si="8"/>
        <v>金</v>
      </c>
    </row>
    <row r="181" spans="1:9" x14ac:dyDescent="0.15">
      <c r="A181" s="16">
        <f>実績データ!A181</f>
        <v>45927</v>
      </c>
      <c r="B181" s="8" t="str">
        <f>実績データ!C181</f>
        <v xml:space="preserve"> C駐車場（池袋西口）</v>
      </c>
      <c r="C181" s="8" t="str">
        <f t="shared" si="6"/>
        <v>C駐車場（池袋西口）</v>
      </c>
      <c r="D181" s="8">
        <f>実績データ!F181</f>
        <v>136</v>
      </c>
      <c r="E181" s="17">
        <f>実績データ!G181</f>
        <v>155108</v>
      </c>
      <c r="F181" s="18">
        <f>実績データ!H181</f>
        <v>0.55187545965957496</v>
      </c>
      <c r="G181" s="8">
        <f>実績データ!I181</f>
        <v>56</v>
      </c>
      <c r="H181" s="8" t="str">
        <f t="shared" si="7"/>
        <v>2025-09</v>
      </c>
      <c r="I181" s="8" t="str">
        <f t="shared" si="8"/>
        <v>土</v>
      </c>
    </row>
    <row r="182" spans="1:9" x14ac:dyDescent="0.15">
      <c r="A182" s="16">
        <f>実績データ!A182</f>
        <v>45928</v>
      </c>
      <c r="B182" s="8" t="str">
        <f>実績データ!C182</f>
        <v>A駐車場（新宿駅前）</v>
      </c>
      <c r="C182" s="8" t="str">
        <f t="shared" si="6"/>
        <v>A駐車場（新宿駅前）</v>
      </c>
      <c r="D182" s="8">
        <f>実績データ!F182</f>
        <v>178</v>
      </c>
      <c r="E182" s="17">
        <f>実績データ!G182</f>
        <v>218156</v>
      </c>
      <c r="F182" s="18">
        <f>実績データ!H182</f>
        <v>0.73365056922357264</v>
      </c>
      <c r="G182" s="8">
        <f>実績データ!I182</f>
        <v>87</v>
      </c>
      <c r="H182" s="8" t="str">
        <f t="shared" si="7"/>
        <v>2025-09</v>
      </c>
      <c r="I182" s="8" t="str">
        <f t="shared" si="8"/>
        <v>日</v>
      </c>
    </row>
    <row r="183" spans="1:9" x14ac:dyDescent="0.15">
      <c r="A183" s="16">
        <f>実績データ!A183</f>
        <v>45929</v>
      </c>
      <c r="B183" s="8" t="str">
        <f>実績データ!C183</f>
        <v>B駐車場（渋谷南）</v>
      </c>
      <c r="C183" s="8" t="str">
        <f t="shared" si="6"/>
        <v>B駐車場（渋谷南）</v>
      </c>
      <c r="D183" s="8">
        <f>実績データ!F183</f>
        <v>147</v>
      </c>
      <c r="E183" s="17">
        <f>実績データ!G183</f>
        <v>185841</v>
      </c>
      <c r="F183" s="18">
        <f>実績データ!H183</f>
        <v>0.51090654285003145</v>
      </c>
      <c r="G183" s="8">
        <f>実績データ!I183</f>
        <v>84</v>
      </c>
      <c r="H183" s="8" t="str">
        <f t="shared" si="7"/>
        <v>2025-09</v>
      </c>
      <c r="I183" s="8" t="str">
        <f t="shared" si="8"/>
        <v>月</v>
      </c>
    </row>
    <row r="184" spans="1:9" x14ac:dyDescent="0.15">
      <c r="A184" s="16">
        <f>実績データ!A184</f>
        <v>45930</v>
      </c>
      <c r="B184" s="8" t="str">
        <f>実績データ!C184</f>
        <v xml:space="preserve">D駐車場（横浜元町） </v>
      </c>
      <c r="C184" s="8" t="str">
        <f t="shared" si="6"/>
        <v>D駐車場（横浜元町）</v>
      </c>
      <c r="D184" s="8">
        <f>実績データ!F184</f>
        <v>102</v>
      </c>
      <c r="E184" s="17">
        <f>実績データ!G184</f>
        <v>118092</v>
      </c>
      <c r="F184" s="18">
        <f>実績データ!H184</f>
        <v>0.36637871041060732</v>
      </c>
      <c r="G184" s="8">
        <f>実績データ!I184</f>
        <v>69</v>
      </c>
      <c r="H184" s="8" t="str">
        <f t="shared" si="7"/>
        <v>2025-09</v>
      </c>
      <c r="I184" s="8" t="str">
        <f t="shared" si="8"/>
        <v>火</v>
      </c>
    </row>
    <row r="185" spans="1:9" x14ac:dyDescent="0.15">
      <c r="A185" s="16">
        <f>実績データ!A185</f>
        <v>45931</v>
      </c>
      <c r="B185" s="8" t="str">
        <f>実績データ!C185</f>
        <v>A駐車場 (新宿駅前)</v>
      </c>
      <c r="C185" s="8" t="str">
        <f t="shared" si="6"/>
        <v>A駐車場（新宿駅前）</v>
      </c>
      <c r="D185" s="8">
        <f>実績データ!F185</f>
        <v>143</v>
      </c>
      <c r="E185" s="17">
        <f>実績データ!G185</f>
        <v>168580</v>
      </c>
      <c r="F185" s="18">
        <f>実績データ!H185</f>
        <v>0.50522670677205161</v>
      </c>
      <c r="G185" s="8">
        <f>実績データ!I185</f>
        <v>77</v>
      </c>
      <c r="H185" s="8" t="str">
        <f t="shared" si="7"/>
        <v>2025-10</v>
      </c>
      <c r="I185" s="8" t="str">
        <f t="shared" si="8"/>
        <v>水</v>
      </c>
    </row>
    <row r="186" spans="1:9" x14ac:dyDescent="0.15">
      <c r="A186" s="16">
        <f>実績データ!A186</f>
        <v>45932</v>
      </c>
      <c r="B186" s="8" t="str">
        <f>実績データ!C186</f>
        <v xml:space="preserve"> A駐車場（新宿駅前）</v>
      </c>
      <c r="C186" s="8" t="str">
        <f t="shared" si="6"/>
        <v>A駐車場（新宿駅前）</v>
      </c>
      <c r="D186" s="8">
        <f>実績データ!F186</f>
        <v>175</v>
      </c>
      <c r="E186" s="17">
        <f>実績データ!G186</f>
        <v>209159</v>
      </c>
      <c r="F186" s="18">
        <f>実績データ!H186</f>
        <v>0.68252599249678902</v>
      </c>
      <c r="G186" s="8">
        <f>実績データ!I186</f>
        <v>62</v>
      </c>
      <c r="H186" s="8" t="str">
        <f t="shared" si="7"/>
        <v>2025-10</v>
      </c>
      <c r="I186" s="8" t="str">
        <f t="shared" si="8"/>
        <v>木</v>
      </c>
    </row>
    <row r="187" spans="1:9" x14ac:dyDescent="0.15">
      <c r="A187" s="16">
        <f>実績データ!A187</f>
        <v>45933</v>
      </c>
      <c r="B187" s="8" t="str">
        <f>実績データ!C187</f>
        <v xml:space="preserve"> A駐車場（新宿駅前）</v>
      </c>
      <c r="C187" s="8" t="str">
        <f t="shared" si="6"/>
        <v>A駐車場（新宿駅前）</v>
      </c>
      <c r="D187" s="8">
        <f>実績データ!F187</f>
        <v>120</v>
      </c>
      <c r="E187" s="17">
        <f>実績データ!G187</f>
        <v>120956</v>
      </c>
      <c r="F187" s="18">
        <f>実績データ!H187</f>
        <v>0.46139320117240029</v>
      </c>
      <c r="G187" s="8">
        <f>実績データ!I187</f>
        <v>73</v>
      </c>
      <c r="H187" s="8" t="str">
        <f t="shared" si="7"/>
        <v>2025-10</v>
      </c>
      <c r="I187" s="8" t="str">
        <f t="shared" si="8"/>
        <v>金</v>
      </c>
    </row>
    <row r="188" spans="1:9" x14ac:dyDescent="0.15">
      <c r="A188" s="16">
        <f>実績データ!A188</f>
        <v>45934</v>
      </c>
      <c r="B188" s="8" t="str">
        <f>実績データ!C188</f>
        <v>A駐車場 (新宿駅前)</v>
      </c>
      <c r="C188" s="8" t="str">
        <f t="shared" si="6"/>
        <v>A駐車場（新宿駅前）</v>
      </c>
      <c r="D188" s="8">
        <f>実績データ!F188</f>
        <v>170</v>
      </c>
      <c r="E188" s="17">
        <f>実績データ!G188</f>
        <v>188016</v>
      </c>
      <c r="F188" s="18">
        <f>実績データ!H188</f>
        <v>0.64862265788738172</v>
      </c>
      <c r="G188" s="8">
        <f>実績データ!I188</f>
        <v>74</v>
      </c>
      <c r="H188" s="8" t="str">
        <f t="shared" si="7"/>
        <v>2025-10</v>
      </c>
      <c r="I188" s="8" t="str">
        <f t="shared" si="8"/>
        <v>土</v>
      </c>
    </row>
    <row r="189" spans="1:9" x14ac:dyDescent="0.15">
      <c r="A189" s="16">
        <f>実績データ!A189</f>
        <v>45935</v>
      </c>
      <c r="B189" s="8" t="str">
        <f>実績データ!C189</f>
        <v>D駐車場（横浜元町）</v>
      </c>
      <c r="C189" s="8" t="str">
        <f t="shared" si="6"/>
        <v>D駐車場（横浜元町）</v>
      </c>
      <c r="D189" s="8">
        <f>実績データ!F189</f>
        <v>134</v>
      </c>
      <c r="E189" s="17">
        <f>実績データ!G189</f>
        <v>155133</v>
      </c>
      <c r="F189" s="18">
        <f>実績データ!H189</f>
        <v>0.52316094214476949</v>
      </c>
      <c r="G189" s="8">
        <f>実績データ!I189</f>
        <v>73</v>
      </c>
      <c r="H189" s="8" t="str">
        <f t="shared" si="7"/>
        <v>2025-10</v>
      </c>
      <c r="I189" s="8" t="str">
        <f t="shared" si="8"/>
        <v>日</v>
      </c>
    </row>
    <row r="190" spans="1:9" x14ac:dyDescent="0.15">
      <c r="A190" s="16">
        <f>実績データ!A190</f>
        <v>45936</v>
      </c>
      <c r="B190" s="8" t="str">
        <f>実績データ!C190</f>
        <v>B駐車場 (渋谷南)</v>
      </c>
      <c r="C190" s="8" t="str">
        <f t="shared" si="6"/>
        <v>B駐車場（渋谷南）</v>
      </c>
      <c r="D190" s="8">
        <f>実績データ!F190</f>
        <v>161</v>
      </c>
      <c r="E190" s="17">
        <f>実績データ!G190</f>
        <v>201815</v>
      </c>
      <c r="F190" s="18">
        <f>実績データ!H190</f>
        <v>0.69788552526024961</v>
      </c>
      <c r="G190" s="8">
        <f>実績データ!I190</f>
        <v>82</v>
      </c>
      <c r="H190" s="8" t="str">
        <f t="shared" si="7"/>
        <v>2025-10</v>
      </c>
      <c r="I190" s="8" t="str">
        <f t="shared" si="8"/>
        <v>月</v>
      </c>
    </row>
    <row r="191" spans="1:9" x14ac:dyDescent="0.15">
      <c r="A191" s="16">
        <f>実績データ!A191</f>
        <v>45937</v>
      </c>
      <c r="B191" s="8" t="str">
        <f>実績データ!C191</f>
        <v>C駐車場 (池袋西口)</v>
      </c>
      <c r="C191" s="8" t="str">
        <f t="shared" si="6"/>
        <v>C駐車場（池袋西口）</v>
      </c>
      <c r="D191" s="8">
        <f>実績データ!F191</f>
        <v>135</v>
      </c>
      <c r="E191" s="17">
        <f>実績データ!G191</f>
        <v>164599</v>
      </c>
      <c r="F191" s="18">
        <f>実績データ!H191</f>
        <v>0.50355726097811826</v>
      </c>
      <c r="G191" s="8">
        <f>実績データ!I191</f>
        <v>83</v>
      </c>
      <c r="H191" s="8" t="str">
        <f t="shared" si="7"/>
        <v>2025-10</v>
      </c>
      <c r="I191" s="8" t="str">
        <f t="shared" si="8"/>
        <v>火</v>
      </c>
    </row>
    <row r="192" spans="1:9" x14ac:dyDescent="0.15">
      <c r="A192" s="16">
        <f>実績データ!A192</f>
        <v>45938</v>
      </c>
      <c r="B192" s="8" t="str">
        <f>実績データ!C192</f>
        <v xml:space="preserve"> C駐車場（池袋西口）</v>
      </c>
      <c r="C192" s="8" t="str">
        <f t="shared" si="6"/>
        <v>C駐車場（池袋西口）</v>
      </c>
      <c r="D192" s="8">
        <f>実績データ!F192</f>
        <v>122</v>
      </c>
      <c r="E192" s="17">
        <f>実績データ!G192</f>
        <v>153282</v>
      </c>
      <c r="F192" s="18">
        <f>実績データ!H192</f>
        <v>0.51358653037089153</v>
      </c>
      <c r="G192" s="8">
        <f>実績データ!I192</f>
        <v>59</v>
      </c>
      <c r="H192" s="8" t="str">
        <f t="shared" si="7"/>
        <v>2025-10</v>
      </c>
      <c r="I192" s="8" t="str">
        <f t="shared" si="8"/>
        <v>水</v>
      </c>
    </row>
    <row r="193" spans="1:9" x14ac:dyDescent="0.15">
      <c r="A193" s="16">
        <f>実績データ!A193</f>
        <v>45939</v>
      </c>
      <c r="B193" s="8" t="str">
        <f>実績データ!C193</f>
        <v>D駐車場 (横浜元町)</v>
      </c>
      <c r="C193" s="8" t="str">
        <f t="shared" si="6"/>
        <v>D駐車場（横浜元町）</v>
      </c>
      <c r="D193" s="8">
        <f>実績データ!F193</f>
        <v>99</v>
      </c>
      <c r="E193" s="17">
        <f>実績データ!G193</f>
        <v>105099</v>
      </c>
      <c r="F193" s="18">
        <f>実績データ!H193</f>
        <v>0.38884105375381212</v>
      </c>
      <c r="G193" s="8">
        <f>実績データ!I193</f>
        <v>63</v>
      </c>
      <c r="H193" s="8" t="str">
        <f t="shared" si="7"/>
        <v>2025-10</v>
      </c>
      <c r="I193" s="8" t="str">
        <f t="shared" si="8"/>
        <v>木</v>
      </c>
    </row>
    <row r="194" spans="1:9" x14ac:dyDescent="0.15">
      <c r="A194" s="16">
        <f>実績データ!A194</f>
        <v>45940</v>
      </c>
      <c r="B194" s="8" t="str">
        <f>実績データ!C194</f>
        <v>A駐車場（新宿駅前）</v>
      </c>
      <c r="C194" s="8" t="str">
        <f t="shared" ref="C194:C257" si="9">SUBSTITUTE(SUBSTITUTE(SUBSTITUTE(SUBSTITUTE(B194," ",""),"　",""),"(","（"),")","）")</f>
        <v>A駐車場（新宿駅前）</v>
      </c>
      <c r="D194" s="8">
        <f>実績データ!F194</f>
        <v>101</v>
      </c>
      <c r="E194" s="17">
        <f>実績データ!G194</f>
        <v>139748</v>
      </c>
      <c r="F194" s="18">
        <f>実績データ!H194</f>
        <v>0.40081478560552541</v>
      </c>
      <c r="G194" s="8">
        <f>実績データ!I194</f>
        <v>78</v>
      </c>
      <c r="H194" s="8" t="str">
        <f t="shared" ref="H194:H257" si="10">TEXT(A194,"yyyy-mm")</f>
        <v>2025-10</v>
      </c>
      <c r="I194" s="8" t="str">
        <f t="shared" ref="I194:I257" si="11">TEXT(A194,"aaa")</f>
        <v>金</v>
      </c>
    </row>
    <row r="195" spans="1:9" x14ac:dyDescent="0.15">
      <c r="A195" s="16">
        <f>実績データ!A195</f>
        <v>45941</v>
      </c>
      <c r="B195" s="8" t="str">
        <f>実績データ!C195</f>
        <v xml:space="preserve"> C駐車場（池袋西口）</v>
      </c>
      <c r="C195" s="8" t="str">
        <f t="shared" si="9"/>
        <v>C駐車場（池袋西口）</v>
      </c>
      <c r="D195" s="8">
        <f>実績データ!F195</f>
        <v>110</v>
      </c>
      <c r="E195" s="17">
        <f>実績データ!G195</f>
        <v>146186</v>
      </c>
      <c r="F195" s="18">
        <f>実績データ!H195</f>
        <v>0.37519473602837428</v>
      </c>
      <c r="G195" s="8">
        <f>実績データ!I195</f>
        <v>73</v>
      </c>
      <c r="H195" s="8" t="str">
        <f t="shared" si="10"/>
        <v>2025-10</v>
      </c>
      <c r="I195" s="8" t="str">
        <f t="shared" si="11"/>
        <v>土</v>
      </c>
    </row>
    <row r="196" spans="1:9" x14ac:dyDescent="0.15">
      <c r="A196" s="16">
        <f>実績データ!A196</f>
        <v>45942</v>
      </c>
      <c r="B196" s="8" t="str">
        <f>実績データ!C196</f>
        <v>C駐車場（池袋西口）</v>
      </c>
      <c r="C196" s="8" t="str">
        <f t="shared" si="9"/>
        <v>C駐車場（池袋西口）</v>
      </c>
      <c r="D196" s="8">
        <f>実績データ!F196</f>
        <v>104</v>
      </c>
      <c r="E196" s="17">
        <f>実績データ!G196</f>
        <v>115289</v>
      </c>
      <c r="F196" s="18">
        <f>実績データ!H196</f>
        <v>0.36033669965214637</v>
      </c>
      <c r="G196" s="8">
        <f>実績データ!I196</f>
        <v>57</v>
      </c>
      <c r="H196" s="8" t="str">
        <f t="shared" si="10"/>
        <v>2025-10</v>
      </c>
      <c r="I196" s="8" t="str">
        <f t="shared" si="11"/>
        <v>日</v>
      </c>
    </row>
    <row r="197" spans="1:9" x14ac:dyDescent="0.15">
      <c r="A197" s="16">
        <f>実績データ!A197</f>
        <v>45943</v>
      </c>
      <c r="B197" s="8" t="str">
        <f>実績データ!C197</f>
        <v>C駐車場（池袋西口）</v>
      </c>
      <c r="C197" s="8" t="str">
        <f t="shared" si="9"/>
        <v>C駐車場（池袋西口）</v>
      </c>
      <c r="D197" s="8">
        <f>実績データ!F197</f>
        <v>80</v>
      </c>
      <c r="E197" s="17">
        <f>実績データ!G197</f>
        <v>93559</v>
      </c>
      <c r="F197" s="18">
        <f>実績データ!H197</f>
        <v>0.32</v>
      </c>
      <c r="G197" s="8">
        <f>実績データ!I197</f>
        <v>69</v>
      </c>
      <c r="H197" s="8" t="str">
        <f t="shared" si="10"/>
        <v>2025-10</v>
      </c>
      <c r="I197" s="8" t="str">
        <f t="shared" si="11"/>
        <v>月</v>
      </c>
    </row>
    <row r="198" spans="1:9" x14ac:dyDescent="0.15">
      <c r="A198" s="16">
        <f>実績データ!A198</f>
        <v>45944</v>
      </c>
      <c r="B198" s="8" t="str">
        <f>実績データ!C198</f>
        <v>A駐車場 (新宿駅前)</v>
      </c>
      <c r="C198" s="8" t="str">
        <f t="shared" si="9"/>
        <v>A駐車場（新宿駅前）</v>
      </c>
      <c r="D198" s="8">
        <f>実績データ!F198</f>
        <v>156</v>
      </c>
      <c r="E198" s="17">
        <f>実績データ!G198</f>
        <v>207527</v>
      </c>
      <c r="F198" s="18">
        <f>実績データ!H198</f>
        <v>0.54460248441117076</v>
      </c>
      <c r="G198" s="8">
        <f>実績データ!I198</f>
        <v>86</v>
      </c>
      <c r="H198" s="8" t="str">
        <f t="shared" si="10"/>
        <v>2025-10</v>
      </c>
      <c r="I198" s="8" t="str">
        <f t="shared" si="11"/>
        <v>火</v>
      </c>
    </row>
    <row r="199" spans="1:9" x14ac:dyDescent="0.15">
      <c r="A199" s="16">
        <f>実績データ!A199</f>
        <v>45945</v>
      </c>
      <c r="B199" s="8" t="str">
        <f>実績データ!C199</f>
        <v xml:space="preserve">D駐車場（横浜元町） </v>
      </c>
      <c r="C199" s="8" t="str">
        <f t="shared" si="9"/>
        <v>D駐車場（横浜元町）</v>
      </c>
      <c r="D199" s="8">
        <f>実績データ!F199</f>
        <v>122</v>
      </c>
      <c r="E199" s="17">
        <f>実績データ!G199</f>
        <v>139081</v>
      </c>
      <c r="F199" s="18">
        <f>実績データ!H199</f>
        <v>0.47298514704538058</v>
      </c>
      <c r="G199" s="8">
        <f>実績データ!I199</f>
        <v>59</v>
      </c>
      <c r="H199" s="8" t="str">
        <f t="shared" si="10"/>
        <v>2025-10</v>
      </c>
      <c r="I199" s="8" t="str">
        <f t="shared" si="11"/>
        <v>水</v>
      </c>
    </row>
    <row r="200" spans="1:9" x14ac:dyDescent="0.15">
      <c r="A200" s="16">
        <f>実績データ!A200</f>
        <v>45946</v>
      </c>
      <c r="B200" s="8" t="str">
        <f>実績データ!C200</f>
        <v>C駐車場 (池袋西口)</v>
      </c>
      <c r="C200" s="8" t="str">
        <f t="shared" si="9"/>
        <v>C駐車場（池袋西口）</v>
      </c>
      <c r="D200" s="8">
        <f>実績データ!F200</f>
        <v>110</v>
      </c>
      <c r="E200" s="17">
        <f>実績データ!G200</f>
        <v>136788</v>
      </c>
      <c r="F200" s="18">
        <f>実績データ!H200</f>
        <v>0.41937788575832102</v>
      </c>
      <c r="G200" s="8">
        <f>実績データ!I200</f>
        <v>58</v>
      </c>
      <c r="H200" s="8" t="str">
        <f t="shared" si="10"/>
        <v>2025-10</v>
      </c>
      <c r="I200" s="8" t="str">
        <f t="shared" si="11"/>
        <v>木</v>
      </c>
    </row>
    <row r="201" spans="1:9" x14ac:dyDescent="0.15">
      <c r="A201" s="16">
        <f>実績データ!A201</f>
        <v>45947</v>
      </c>
      <c r="B201" s="8" t="str">
        <f>実績データ!C201</f>
        <v>C駐車場（池袋西口）</v>
      </c>
      <c r="C201" s="8" t="str">
        <f t="shared" si="9"/>
        <v>C駐車場（池袋西口）</v>
      </c>
      <c r="D201" s="8">
        <f>実績データ!F201</f>
        <v>114</v>
      </c>
      <c r="E201" s="17">
        <f>実績データ!G201</f>
        <v>117164</v>
      </c>
      <c r="F201" s="18">
        <f>実績データ!H201</f>
        <v>0.44909270692977482</v>
      </c>
      <c r="G201" s="8">
        <f>実績データ!I201</f>
        <v>78</v>
      </c>
      <c r="H201" s="8" t="str">
        <f t="shared" si="10"/>
        <v>2025-10</v>
      </c>
      <c r="I201" s="8" t="str">
        <f t="shared" si="11"/>
        <v>金</v>
      </c>
    </row>
    <row r="202" spans="1:9" x14ac:dyDescent="0.15">
      <c r="A202" s="16">
        <f>実績データ!A202</f>
        <v>45948</v>
      </c>
      <c r="B202" s="8" t="str">
        <f>実績データ!C202</f>
        <v>B駐車場 (渋谷南)</v>
      </c>
      <c r="C202" s="8" t="str">
        <f t="shared" si="9"/>
        <v>B駐車場（渋谷南）</v>
      </c>
      <c r="D202" s="8">
        <f>実績データ!F202</f>
        <v>174</v>
      </c>
      <c r="E202" s="17">
        <f>実績データ!G202</f>
        <v>205250</v>
      </c>
      <c r="F202" s="18">
        <f>実績データ!H202</f>
        <v>0.6997765968145071</v>
      </c>
      <c r="G202" s="8">
        <f>実績データ!I202</f>
        <v>72</v>
      </c>
      <c r="H202" s="8" t="str">
        <f t="shared" si="10"/>
        <v>2025-10</v>
      </c>
      <c r="I202" s="8" t="str">
        <f t="shared" si="11"/>
        <v>土</v>
      </c>
    </row>
    <row r="203" spans="1:9" x14ac:dyDescent="0.15">
      <c r="A203" s="16">
        <f>実績データ!A203</f>
        <v>45949</v>
      </c>
      <c r="B203" s="8" t="str">
        <f>実績データ!C203</f>
        <v>C駐車場 (池袋西口)</v>
      </c>
      <c r="C203" s="8" t="str">
        <f t="shared" si="9"/>
        <v>C駐車場（池袋西口）</v>
      </c>
      <c r="D203" s="8">
        <f>実績データ!F203</f>
        <v>113</v>
      </c>
      <c r="E203" s="17">
        <f>実績データ!G203</f>
        <v>119792</v>
      </c>
      <c r="F203" s="18">
        <f>実績データ!H203</f>
        <v>0.42719934625453199</v>
      </c>
      <c r="G203" s="8">
        <f>実績データ!I203</f>
        <v>74</v>
      </c>
      <c r="H203" s="8" t="str">
        <f t="shared" si="10"/>
        <v>2025-10</v>
      </c>
      <c r="I203" s="8" t="str">
        <f t="shared" si="11"/>
        <v>日</v>
      </c>
    </row>
    <row r="204" spans="1:9" x14ac:dyDescent="0.15">
      <c r="A204" s="16">
        <f>実績データ!A204</f>
        <v>45950</v>
      </c>
      <c r="B204" s="8" t="str">
        <f>実績データ!C204</f>
        <v>C駐車場（池袋西口）</v>
      </c>
      <c r="C204" s="8" t="str">
        <f t="shared" si="9"/>
        <v>C駐車場（池袋西口）</v>
      </c>
      <c r="D204" s="8">
        <f>実績データ!F204</f>
        <v>101</v>
      </c>
      <c r="E204" s="17">
        <f>実績データ!G204</f>
        <v>119854</v>
      </c>
      <c r="F204" s="18">
        <f>実績データ!H204</f>
        <v>0.39426371641156382</v>
      </c>
      <c r="G204" s="8">
        <f>実績データ!I204</f>
        <v>72</v>
      </c>
      <c r="H204" s="8" t="str">
        <f t="shared" si="10"/>
        <v>2025-10</v>
      </c>
      <c r="I204" s="8" t="str">
        <f t="shared" si="11"/>
        <v>月</v>
      </c>
    </row>
    <row r="205" spans="1:9" x14ac:dyDescent="0.15">
      <c r="A205" s="16">
        <f>実績データ!A205</f>
        <v>45951</v>
      </c>
      <c r="B205" s="8" t="str">
        <f>実績データ!C205</f>
        <v xml:space="preserve"> C駐車場（池袋西口）</v>
      </c>
      <c r="C205" s="8" t="str">
        <f t="shared" si="9"/>
        <v>C駐車場（池袋西口）</v>
      </c>
      <c r="D205" s="8">
        <f>実績データ!F205</f>
        <v>60</v>
      </c>
      <c r="E205" s="17">
        <f>実績データ!G205</f>
        <v>78367</v>
      </c>
      <c r="F205" s="18">
        <f>実績データ!H205</f>
        <v>0.32</v>
      </c>
      <c r="G205" s="8">
        <f>実績データ!I205</f>
        <v>80</v>
      </c>
      <c r="H205" s="8" t="str">
        <f t="shared" si="10"/>
        <v>2025-10</v>
      </c>
      <c r="I205" s="8" t="str">
        <f t="shared" si="11"/>
        <v>火</v>
      </c>
    </row>
    <row r="206" spans="1:9" x14ac:dyDescent="0.15">
      <c r="A206" s="16">
        <f>実績データ!A206</f>
        <v>45952</v>
      </c>
      <c r="B206" s="8" t="str">
        <f>実績データ!C206</f>
        <v>D駐車場 (横浜元町)</v>
      </c>
      <c r="C206" s="8" t="str">
        <f t="shared" si="9"/>
        <v>D駐車場（横浜元町）</v>
      </c>
      <c r="D206" s="8">
        <f>実績データ!F206</f>
        <v>76</v>
      </c>
      <c r="E206" s="17">
        <f>実績データ!G206</f>
        <v>85616</v>
      </c>
      <c r="F206" s="18">
        <f>実績データ!H206</f>
        <v>0.32</v>
      </c>
      <c r="G206" s="8">
        <f>実績データ!I206</f>
        <v>67</v>
      </c>
      <c r="H206" s="8" t="str">
        <f t="shared" si="10"/>
        <v>2025-10</v>
      </c>
      <c r="I206" s="8" t="str">
        <f t="shared" si="11"/>
        <v>水</v>
      </c>
    </row>
    <row r="207" spans="1:9" x14ac:dyDescent="0.15">
      <c r="A207" s="16">
        <f>実績データ!A207</f>
        <v>45953</v>
      </c>
      <c r="B207" s="8" t="str">
        <f>実績データ!C207</f>
        <v>D駐車場（横浜元町）</v>
      </c>
      <c r="C207" s="8" t="str">
        <f t="shared" si="9"/>
        <v>D駐車場（横浜元町）</v>
      </c>
      <c r="D207" s="8">
        <f>実績データ!F207</f>
        <v>85</v>
      </c>
      <c r="E207" s="17">
        <f>実績データ!G207</f>
        <v>102535</v>
      </c>
      <c r="F207" s="18">
        <f>実績データ!H207</f>
        <v>0.3724554839497396</v>
      </c>
      <c r="G207" s="8">
        <f>実績データ!I207</f>
        <v>80</v>
      </c>
      <c r="H207" s="8" t="str">
        <f t="shared" si="10"/>
        <v>2025-10</v>
      </c>
      <c r="I207" s="8" t="str">
        <f t="shared" si="11"/>
        <v>木</v>
      </c>
    </row>
    <row r="208" spans="1:9" x14ac:dyDescent="0.15">
      <c r="A208" s="16">
        <f>実績データ!A208</f>
        <v>45954</v>
      </c>
      <c r="B208" s="8" t="str">
        <f>実績データ!C208</f>
        <v xml:space="preserve"> A駐車場（新宿駅前）</v>
      </c>
      <c r="C208" s="8" t="str">
        <f t="shared" si="9"/>
        <v>A駐車場（新宿駅前）</v>
      </c>
      <c r="D208" s="8">
        <f>実績データ!F208</f>
        <v>166</v>
      </c>
      <c r="E208" s="17">
        <f>実績データ!G208</f>
        <v>189875</v>
      </c>
      <c r="F208" s="18">
        <f>実績データ!H208</f>
        <v>0.63152138494162335</v>
      </c>
      <c r="G208" s="8">
        <f>実績データ!I208</f>
        <v>76</v>
      </c>
      <c r="H208" s="8" t="str">
        <f t="shared" si="10"/>
        <v>2025-10</v>
      </c>
      <c r="I208" s="8" t="str">
        <f t="shared" si="11"/>
        <v>金</v>
      </c>
    </row>
    <row r="209" spans="1:9" x14ac:dyDescent="0.15">
      <c r="A209" s="16">
        <f>実績データ!A209</f>
        <v>45955</v>
      </c>
      <c r="B209" s="8" t="str">
        <f>実績データ!C209</f>
        <v>A駐車場 (新宿駅前)</v>
      </c>
      <c r="C209" s="8" t="str">
        <f t="shared" si="9"/>
        <v>A駐車場（新宿駅前）</v>
      </c>
      <c r="D209" s="8">
        <f>実績データ!F209</f>
        <v>168</v>
      </c>
      <c r="E209" s="17">
        <f>実績データ!G209</f>
        <v>221998</v>
      </c>
      <c r="F209" s="18">
        <f>実績データ!H209</f>
        <v>0.62896904098117679</v>
      </c>
      <c r="G209" s="8">
        <f>実績データ!I209</f>
        <v>70</v>
      </c>
      <c r="H209" s="8" t="str">
        <f t="shared" si="10"/>
        <v>2025-10</v>
      </c>
      <c r="I209" s="8" t="str">
        <f t="shared" si="11"/>
        <v>土</v>
      </c>
    </row>
    <row r="210" spans="1:9" x14ac:dyDescent="0.15">
      <c r="A210" s="16">
        <f>実績データ!A210</f>
        <v>45956</v>
      </c>
      <c r="B210" s="8" t="str">
        <f>実績データ!C210</f>
        <v>B駐車場 (渋谷南)</v>
      </c>
      <c r="C210" s="8" t="str">
        <f t="shared" si="9"/>
        <v>B駐車場（渋谷南）</v>
      </c>
      <c r="D210" s="8">
        <f>実績データ!F210</f>
        <v>143</v>
      </c>
      <c r="E210" s="17">
        <f>実績データ!G210</f>
        <v>168691</v>
      </c>
      <c r="F210" s="18">
        <f>実績データ!H210</f>
        <v>0.57327470435893191</v>
      </c>
      <c r="G210" s="8">
        <f>実績データ!I210</f>
        <v>87</v>
      </c>
      <c r="H210" s="8" t="str">
        <f t="shared" si="10"/>
        <v>2025-10</v>
      </c>
      <c r="I210" s="8" t="str">
        <f t="shared" si="11"/>
        <v>日</v>
      </c>
    </row>
    <row r="211" spans="1:9" x14ac:dyDescent="0.15">
      <c r="A211" s="16">
        <f>実績データ!A211</f>
        <v>45957</v>
      </c>
      <c r="B211" s="8" t="str">
        <f>実績データ!C211</f>
        <v>A駐車場 (新宿駅前)</v>
      </c>
      <c r="C211" s="8" t="str">
        <f t="shared" si="9"/>
        <v>A駐車場（新宿駅前）</v>
      </c>
      <c r="D211" s="8">
        <f>実績データ!F211</f>
        <v>194</v>
      </c>
      <c r="E211" s="17">
        <f>実績データ!G211</f>
        <v>250959</v>
      </c>
      <c r="F211" s="18">
        <f>実績データ!H211</f>
        <v>0.74976831692716706</v>
      </c>
      <c r="G211" s="8">
        <f>実績データ!I211</f>
        <v>65</v>
      </c>
      <c r="H211" s="8" t="str">
        <f t="shared" si="10"/>
        <v>2025-10</v>
      </c>
      <c r="I211" s="8" t="str">
        <f t="shared" si="11"/>
        <v>月</v>
      </c>
    </row>
    <row r="212" spans="1:9" x14ac:dyDescent="0.15">
      <c r="A212" s="16">
        <f>実績データ!A212</f>
        <v>45958</v>
      </c>
      <c r="B212" s="8" t="str">
        <f>実績データ!C212</f>
        <v>A駐車場（新宿駅前）</v>
      </c>
      <c r="C212" s="8" t="str">
        <f t="shared" si="9"/>
        <v>A駐車場（新宿駅前）</v>
      </c>
      <c r="D212" s="8">
        <f>実績データ!F212</f>
        <v>130</v>
      </c>
      <c r="E212" s="17">
        <f>実績データ!G212</f>
        <v>158807</v>
      </c>
      <c r="F212" s="18">
        <f>実績データ!H212</f>
        <v>0.47836811524474432</v>
      </c>
      <c r="G212" s="8">
        <f>実績データ!I212</f>
        <v>91</v>
      </c>
      <c r="H212" s="8" t="str">
        <f t="shared" si="10"/>
        <v>2025-10</v>
      </c>
      <c r="I212" s="8" t="str">
        <f t="shared" si="11"/>
        <v>火</v>
      </c>
    </row>
    <row r="213" spans="1:9" x14ac:dyDescent="0.15">
      <c r="A213" s="16">
        <f>実績データ!A213</f>
        <v>45959</v>
      </c>
      <c r="B213" s="8" t="str">
        <f>実績データ!C213</f>
        <v>C駐車場（池袋西口）</v>
      </c>
      <c r="C213" s="8" t="str">
        <f t="shared" si="9"/>
        <v>C駐車場（池袋西口）</v>
      </c>
      <c r="D213" s="8">
        <f>実績データ!F213</f>
        <v>85</v>
      </c>
      <c r="E213" s="17">
        <f>実績データ!G213</f>
        <v>106424</v>
      </c>
      <c r="F213" s="18">
        <f>実績データ!H213</f>
        <v>0.34673028766872471</v>
      </c>
      <c r="G213" s="8">
        <f>実績データ!I213</f>
        <v>74</v>
      </c>
      <c r="H213" s="8" t="str">
        <f t="shared" si="10"/>
        <v>2025-10</v>
      </c>
      <c r="I213" s="8" t="str">
        <f t="shared" si="11"/>
        <v>水</v>
      </c>
    </row>
    <row r="214" spans="1:9" x14ac:dyDescent="0.15">
      <c r="A214" s="16">
        <f>実績データ!A214</f>
        <v>45960</v>
      </c>
      <c r="B214" s="8" t="str">
        <f>実績データ!C214</f>
        <v>B駐車場（渋谷南）</v>
      </c>
      <c r="C214" s="8" t="str">
        <f t="shared" si="9"/>
        <v>B駐車場（渋谷南）</v>
      </c>
      <c r="D214" s="8">
        <f>実績データ!F214</f>
        <v>141</v>
      </c>
      <c r="E214" s="17">
        <f>実績データ!G214</f>
        <v>192485</v>
      </c>
      <c r="F214" s="18">
        <f>実績データ!H214</f>
        <v>0.53541908476728484</v>
      </c>
      <c r="G214" s="8">
        <f>実績データ!I214</f>
        <v>62</v>
      </c>
      <c r="H214" s="8" t="str">
        <f t="shared" si="10"/>
        <v>2025-10</v>
      </c>
      <c r="I214" s="8" t="str">
        <f t="shared" si="11"/>
        <v>木</v>
      </c>
    </row>
    <row r="215" spans="1:9" x14ac:dyDescent="0.15">
      <c r="A215" s="16">
        <f>実績データ!A215</f>
        <v>45961</v>
      </c>
      <c r="B215" s="8" t="str">
        <f>実績データ!C215</f>
        <v>A駐車場（新宿駅前）</v>
      </c>
      <c r="C215" s="8" t="str">
        <f t="shared" si="9"/>
        <v>A駐車場（新宿駅前）</v>
      </c>
      <c r="D215" s="8">
        <f>実績データ!F215</f>
        <v>148</v>
      </c>
      <c r="E215" s="17">
        <f>実績データ!G215</f>
        <v>192762</v>
      </c>
      <c r="F215" s="18">
        <f>実績データ!H215</f>
        <v>0.56633622976429665</v>
      </c>
      <c r="G215" s="8">
        <f>実績データ!I215</f>
        <v>78</v>
      </c>
      <c r="H215" s="8" t="str">
        <f t="shared" si="10"/>
        <v>2025-10</v>
      </c>
      <c r="I215" s="8" t="str">
        <f t="shared" si="11"/>
        <v>金</v>
      </c>
    </row>
    <row r="216" spans="1:9" x14ac:dyDescent="0.15">
      <c r="A216" s="16">
        <f>実績データ!A216</f>
        <v>45962</v>
      </c>
      <c r="B216" s="8" t="str">
        <f>実績データ!C216</f>
        <v>D駐車場 (横浜元町)</v>
      </c>
      <c r="C216" s="8" t="str">
        <f t="shared" si="9"/>
        <v>D駐車場（横浜元町）</v>
      </c>
      <c r="D216" s="8">
        <f>実績データ!F216</f>
        <v>128</v>
      </c>
      <c r="E216" s="17">
        <f>実績データ!G216</f>
        <v>140349</v>
      </c>
      <c r="F216" s="18">
        <f>実績データ!H216</f>
        <v>0.56573160852974713</v>
      </c>
      <c r="G216" s="8">
        <f>実績データ!I216</f>
        <v>65</v>
      </c>
      <c r="H216" s="8" t="str">
        <f t="shared" si="10"/>
        <v>2025-11</v>
      </c>
      <c r="I216" s="8" t="str">
        <f t="shared" si="11"/>
        <v>土</v>
      </c>
    </row>
    <row r="217" spans="1:9" x14ac:dyDescent="0.15">
      <c r="A217" s="16">
        <f>実績データ!A217</f>
        <v>45963</v>
      </c>
      <c r="B217" s="8" t="str">
        <f>実績データ!C217</f>
        <v xml:space="preserve">B駐車場（渋谷南） </v>
      </c>
      <c r="C217" s="8" t="str">
        <f t="shared" si="9"/>
        <v>B駐車場（渋谷南）</v>
      </c>
      <c r="D217" s="8">
        <f>実績データ!F217</f>
        <v>166</v>
      </c>
      <c r="E217" s="17">
        <f>実績データ!G217</f>
        <v>191794</v>
      </c>
      <c r="F217" s="18">
        <f>実績データ!H217</f>
        <v>0.59750183051453987</v>
      </c>
      <c r="G217" s="8">
        <f>実績データ!I217</f>
        <v>77</v>
      </c>
      <c r="H217" s="8" t="str">
        <f t="shared" si="10"/>
        <v>2025-11</v>
      </c>
      <c r="I217" s="8" t="str">
        <f t="shared" si="11"/>
        <v>日</v>
      </c>
    </row>
    <row r="218" spans="1:9" x14ac:dyDescent="0.15">
      <c r="A218" s="16">
        <f>実績データ!A218</f>
        <v>45964</v>
      </c>
      <c r="B218" s="8" t="str">
        <f>実績データ!C218</f>
        <v>A駐車場（新宿駅前）</v>
      </c>
      <c r="C218" s="8" t="str">
        <f t="shared" si="9"/>
        <v>A駐車場（新宿駅前）</v>
      </c>
      <c r="D218" s="8">
        <f>実績データ!F218</f>
        <v>177</v>
      </c>
      <c r="E218" s="17">
        <f>実績データ!G218</f>
        <v>211135</v>
      </c>
      <c r="F218" s="18">
        <f>実績データ!H218</f>
        <v>0.70459988058620016</v>
      </c>
      <c r="G218" s="8">
        <f>実績データ!I218</f>
        <v>70</v>
      </c>
      <c r="H218" s="8" t="str">
        <f t="shared" si="10"/>
        <v>2025-11</v>
      </c>
      <c r="I218" s="8" t="str">
        <f t="shared" si="11"/>
        <v>月</v>
      </c>
    </row>
    <row r="219" spans="1:9" x14ac:dyDescent="0.15">
      <c r="A219" s="16">
        <f>実績データ!A219</f>
        <v>45965</v>
      </c>
      <c r="B219" s="8" t="str">
        <f>実績データ!C219</f>
        <v>C駐車場（池袋西口）</v>
      </c>
      <c r="C219" s="8" t="str">
        <f t="shared" si="9"/>
        <v>C駐車場（池袋西口）</v>
      </c>
      <c r="D219" s="8">
        <f>実績データ!F219</f>
        <v>75</v>
      </c>
      <c r="E219" s="17">
        <f>実績データ!G219</f>
        <v>90046</v>
      </c>
      <c r="F219" s="18">
        <f>実績データ!H219</f>
        <v>0.32</v>
      </c>
      <c r="G219" s="8">
        <f>実績データ!I219</f>
        <v>60</v>
      </c>
      <c r="H219" s="8" t="str">
        <f t="shared" si="10"/>
        <v>2025-11</v>
      </c>
      <c r="I219" s="8" t="str">
        <f t="shared" si="11"/>
        <v>火</v>
      </c>
    </row>
    <row r="220" spans="1:9" x14ac:dyDescent="0.15">
      <c r="A220" s="16">
        <f>実績データ!A220</f>
        <v>45966</v>
      </c>
      <c r="B220" s="8" t="str">
        <f>実績データ!C220</f>
        <v>B駐車場（渋谷南）</v>
      </c>
      <c r="C220" s="8" t="str">
        <f t="shared" si="9"/>
        <v>B駐車場（渋谷南）</v>
      </c>
      <c r="D220" s="8">
        <f>実績データ!F220</f>
        <v>174</v>
      </c>
      <c r="E220" s="17">
        <f>実績データ!G220</f>
        <v>202732</v>
      </c>
      <c r="F220" s="18">
        <f>実績データ!H220</f>
        <v>0.67213593795973936</v>
      </c>
      <c r="G220" s="8">
        <f>実績データ!I220</f>
        <v>70</v>
      </c>
      <c r="H220" s="8" t="str">
        <f t="shared" si="10"/>
        <v>2025-11</v>
      </c>
      <c r="I220" s="8" t="str">
        <f t="shared" si="11"/>
        <v>水</v>
      </c>
    </row>
    <row r="221" spans="1:9" x14ac:dyDescent="0.15">
      <c r="A221" s="16">
        <f>実績データ!A221</f>
        <v>45967</v>
      </c>
      <c r="B221" s="8" t="str">
        <f>実績データ!C221</f>
        <v>C駐車場 (池袋西口)</v>
      </c>
      <c r="C221" s="8" t="str">
        <f t="shared" si="9"/>
        <v>C駐車場（池袋西口）</v>
      </c>
      <c r="D221" s="8">
        <f>実績データ!F221</f>
        <v>106</v>
      </c>
      <c r="E221" s="17">
        <f>実績データ!G221</f>
        <v>124600</v>
      </c>
      <c r="F221" s="18">
        <f>実績データ!H221</f>
        <v>0.34820046117155701</v>
      </c>
      <c r="G221" s="8">
        <f>実績データ!I221</f>
        <v>67</v>
      </c>
      <c r="H221" s="8" t="str">
        <f t="shared" si="10"/>
        <v>2025-11</v>
      </c>
      <c r="I221" s="8" t="str">
        <f t="shared" si="11"/>
        <v>木</v>
      </c>
    </row>
    <row r="222" spans="1:9" x14ac:dyDescent="0.15">
      <c r="A222" s="16">
        <f>実績データ!A222</f>
        <v>45968</v>
      </c>
      <c r="B222" s="8" t="str">
        <f>実績データ!C222</f>
        <v>B駐車場（渋谷南）</v>
      </c>
      <c r="C222" s="8" t="str">
        <f t="shared" si="9"/>
        <v>B駐車場（渋谷南）</v>
      </c>
      <c r="D222" s="8">
        <f>実績データ!F222</f>
        <v>171</v>
      </c>
      <c r="E222" s="17">
        <f>実績データ!G222</f>
        <v>210167</v>
      </c>
      <c r="F222" s="18">
        <f>実績データ!H222</f>
        <v>0.66655928436847911</v>
      </c>
      <c r="G222" s="8">
        <f>実績データ!I222</f>
        <v>71</v>
      </c>
      <c r="H222" s="8" t="str">
        <f t="shared" si="10"/>
        <v>2025-11</v>
      </c>
      <c r="I222" s="8" t="str">
        <f t="shared" si="11"/>
        <v>金</v>
      </c>
    </row>
    <row r="223" spans="1:9" x14ac:dyDescent="0.15">
      <c r="A223" s="16">
        <f>実績データ!A223</f>
        <v>45969</v>
      </c>
      <c r="B223" s="8" t="str">
        <f>実績データ!C223</f>
        <v>D駐車場 (横浜元町)</v>
      </c>
      <c r="C223" s="8" t="str">
        <f t="shared" si="9"/>
        <v>D駐車場（横浜元町）</v>
      </c>
      <c r="D223" s="8">
        <f>実績データ!F223</f>
        <v>111</v>
      </c>
      <c r="E223" s="17">
        <f>実績データ!G223</f>
        <v>129868</v>
      </c>
      <c r="F223" s="18">
        <f>実績データ!H223</f>
        <v>0.44745104477553488</v>
      </c>
      <c r="G223" s="8">
        <f>実績データ!I223</f>
        <v>75</v>
      </c>
      <c r="H223" s="8" t="str">
        <f t="shared" si="10"/>
        <v>2025-11</v>
      </c>
      <c r="I223" s="8" t="str">
        <f t="shared" si="11"/>
        <v>土</v>
      </c>
    </row>
    <row r="224" spans="1:9" x14ac:dyDescent="0.15">
      <c r="A224" s="16">
        <f>実績データ!A224</f>
        <v>45970</v>
      </c>
      <c r="B224" s="8" t="str">
        <f>実績データ!C224</f>
        <v xml:space="preserve">B駐車場（渋谷南） </v>
      </c>
      <c r="C224" s="8" t="str">
        <f t="shared" si="9"/>
        <v>B駐車場（渋谷南）</v>
      </c>
      <c r="D224" s="8">
        <f>実績データ!F224</f>
        <v>149</v>
      </c>
      <c r="E224" s="17">
        <f>実績データ!G224</f>
        <v>175815</v>
      </c>
      <c r="F224" s="18">
        <f>実績データ!H224</f>
        <v>0.55038323189648097</v>
      </c>
      <c r="G224" s="8">
        <f>実績データ!I224</f>
        <v>87</v>
      </c>
      <c r="H224" s="8" t="str">
        <f t="shared" si="10"/>
        <v>2025-11</v>
      </c>
      <c r="I224" s="8" t="str">
        <f t="shared" si="11"/>
        <v>日</v>
      </c>
    </row>
    <row r="225" spans="1:9" x14ac:dyDescent="0.15">
      <c r="A225" s="16">
        <f>実績データ!A225</f>
        <v>45971</v>
      </c>
      <c r="B225" s="8" t="str">
        <f>実績データ!C225</f>
        <v>C駐車場（池袋西口）</v>
      </c>
      <c r="C225" s="8" t="str">
        <f t="shared" si="9"/>
        <v>C駐車場（池袋西口）</v>
      </c>
      <c r="D225" s="8">
        <f>実績データ!F225</f>
        <v>91</v>
      </c>
      <c r="E225" s="17">
        <f>実績データ!G225</f>
        <v>107631</v>
      </c>
      <c r="F225" s="18">
        <f>実績データ!H225</f>
        <v>0.32</v>
      </c>
      <c r="G225" s="8">
        <f>実績データ!I225</f>
        <v>68</v>
      </c>
      <c r="H225" s="8" t="str">
        <f t="shared" si="10"/>
        <v>2025-11</v>
      </c>
      <c r="I225" s="8" t="str">
        <f t="shared" si="11"/>
        <v>月</v>
      </c>
    </row>
    <row r="226" spans="1:9" x14ac:dyDescent="0.15">
      <c r="A226" s="16">
        <f>実績データ!A226</f>
        <v>45972</v>
      </c>
      <c r="B226" s="8" t="str">
        <f>実績データ!C226</f>
        <v>C駐車場 (池袋西口)</v>
      </c>
      <c r="C226" s="8" t="str">
        <f t="shared" si="9"/>
        <v>C駐車場（池袋西口）</v>
      </c>
      <c r="D226" s="8">
        <f>実績データ!F226</f>
        <v>90</v>
      </c>
      <c r="E226" s="17">
        <f>実績データ!G226</f>
        <v>77327</v>
      </c>
      <c r="F226" s="18">
        <f>実績データ!H226</f>
        <v>0.32</v>
      </c>
      <c r="G226" s="8">
        <f>実績データ!I226</f>
        <v>60</v>
      </c>
      <c r="H226" s="8" t="str">
        <f t="shared" si="10"/>
        <v>2025-11</v>
      </c>
      <c r="I226" s="8" t="str">
        <f t="shared" si="11"/>
        <v>火</v>
      </c>
    </row>
    <row r="227" spans="1:9" x14ac:dyDescent="0.15">
      <c r="A227" s="16">
        <f>実績データ!A227</f>
        <v>45973</v>
      </c>
      <c r="B227" s="8" t="str">
        <f>実績データ!C227</f>
        <v>C駐車場 (池袋西口)</v>
      </c>
      <c r="C227" s="8" t="str">
        <f t="shared" si="9"/>
        <v>C駐車場（池袋西口）</v>
      </c>
      <c r="D227" s="8">
        <f>実績データ!F227</f>
        <v>144</v>
      </c>
      <c r="E227" s="17">
        <f>実績データ!G227</f>
        <v>167051</v>
      </c>
      <c r="F227" s="18">
        <f>実績データ!H227</f>
        <v>0.56136586327633264</v>
      </c>
      <c r="G227" s="8">
        <f>実績データ!I227</f>
        <v>57</v>
      </c>
      <c r="H227" s="8" t="str">
        <f t="shared" si="10"/>
        <v>2025-11</v>
      </c>
      <c r="I227" s="8" t="str">
        <f t="shared" si="11"/>
        <v>水</v>
      </c>
    </row>
    <row r="228" spans="1:9" x14ac:dyDescent="0.15">
      <c r="A228" s="16">
        <f>実績データ!A228</f>
        <v>45974</v>
      </c>
      <c r="B228" s="8" t="str">
        <f>実績データ!C228</f>
        <v>B駐車場（渋谷南）</v>
      </c>
      <c r="C228" s="8" t="str">
        <f t="shared" si="9"/>
        <v>B駐車場（渋谷南）</v>
      </c>
      <c r="D228" s="8">
        <f>実績データ!F228</f>
        <v>126</v>
      </c>
      <c r="E228" s="17">
        <f>実績データ!G228</f>
        <v>153331</v>
      </c>
      <c r="F228" s="18">
        <f>実績データ!H228</f>
        <v>0.48988700766544813</v>
      </c>
      <c r="G228" s="8">
        <f>実績データ!I228</f>
        <v>70</v>
      </c>
      <c r="H228" s="8" t="str">
        <f t="shared" si="10"/>
        <v>2025-11</v>
      </c>
      <c r="I228" s="8" t="str">
        <f t="shared" si="11"/>
        <v>木</v>
      </c>
    </row>
    <row r="229" spans="1:9" x14ac:dyDescent="0.15">
      <c r="A229" s="16">
        <f>実績データ!A229</f>
        <v>45975</v>
      </c>
      <c r="B229" s="8" t="str">
        <f>実績データ!C229</f>
        <v>B駐車場 (渋谷南)</v>
      </c>
      <c r="C229" s="8" t="str">
        <f t="shared" si="9"/>
        <v>B駐車場（渋谷南）</v>
      </c>
      <c r="D229" s="8">
        <f>実績データ!F229</f>
        <v>170</v>
      </c>
      <c r="E229" s="17">
        <f>実績データ!G229</f>
        <v>212035</v>
      </c>
      <c r="F229" s="18">
        <f>実績データ!H229</f>
        <v>0.68496235429261765</v>
      </c>
      <c r="G229" s="8">
        <f>実績データ!I229</f>
        <v>87</v>
      </c>
      <c r="H229" s="8" t="str">
        <f t="shared" si="10"/>
        <v>2025-11</v>
      </c>
      <c r="I229" s="8" t="str">
        <f t="shared" si="11"/>
        <v>金</v>
      </c>
    </row>
    <row r="230" spans="1:9" x14ac:dyDescent="0.15">
      <c r="A230" s="16">
        <f>実績データ!A230</f>
        <v>45976</v>
      </c>
      <c r="B230" s="8" t="str">
        <f>実績データ!C230</f>
        <v>A駐車場 (新宿駅前)</v>
      </c>
      <c r="C230" s="8" t="str">
        <f t="shared" si="9"/>
        <v>A駐車場（新宿駅前）</v>
      </c>
      <c r="D230" s="8">
        <f>実績データ!F230</f>
        <v>166</v>
      </c>
      <c r="E230" s="17">
        <f>実績データ!G230</f>
        <v>188564</v>
      </c>
      <c r="F230" s="18">
        <f>実績データ!H230</f>
        <v>0.52340620724296771</v>
      </c>
      <c r="G230" s="8">
        <f>実績データ!I230</f>
        <v>61</v>
      </c>
      <c r="H230" s="8" t="str">
        <f t="shared" si="10"/>
        <v>2025-11</v>
      </c>
      <c r="I230" s="8" t="str">
        <f t="shared" si="11"/>
        <v>土</v>
      </c>
    </row>
    <row r="231" spans="1:9" x14ac:dyDescent="0.15">
      <c r="A231" s="16">
        <f>実績データ!A231</f>
        <v>45977</v>
      </c>
      <c r="B231" s="8" t="str">
        <f>実績データ!C231</f>
        <v>C駐車場 (池袋西口)</v>
      </c>
      <c r="C231" s="8" t="str">
        <f t="shared" si="9"/>
        <v>C駐車場（池袋西口）</v>
      </c>
      <c r="D231" s="8">
        <f>実績データ!F231</f>
        <v>142</v>
      </c>
      <c r="E231" s="17">
        <f>実績データ!G231</f>
        <v>165400</v>
      </c>
      <c r="F231" s="18">
        <f>実績データ!H231</f>
        <v>0.503102006683396</v>
      </c>
      <c r="G231" s="8">
        <f>実績データ!I231</f>
        <v>65</v>
      </c>
      <c r="H231" s="8" t="str">
        <f t="shared" si="10"/>
        <v>2025-11</v>
      </c>
      <c r="I231" s="8" t="str">
        <f t="shared" si="11"/>
        <v>日</v>
      </c>
    </row>
    <row r="232" spans="1:9" x14ac:dyDescent="0.15">
      <c r="A232" s="16">
        <f>実績データ!A232</f>
        <v>45978</v>
      </c>
      <c r="B232" s="8" t="str">
        <f>実績データ!C232</f>
        <v xml:space="preserve">B駐車場（渋谷南） </v>
      </c>
      <c r="C232" s="8" t="str">
        <f t="shared" si="9"/>
        <v>B駐車場（渋谷南）</v>
      </c>
      <c r="D232" s="8">
        <f>実績データ!F232</f>
        <v>170</v>
      </c>
      <c r="E232" s="17">
        <f>実績データ!G232</f>
        <v>208229</v>
      </c>
      <c r="F232" s="18">
        <f>実績データ!H232</f>
        <v>0.62882554815280056</v>
      </c>
      <c r="G232" s="8">
        <f>実績データ!I232</f>
        <v>96</v>
      </c>
      <c r="H232" s="8" t="str">
        <f t="shared" si="10"/>
        <v>2025-11</v>
      </c>
      <c r="I232" s="8" t="str">
        <f t="shared" si="11"/>
        <v>月</v>
      </c>
    </row>
    <row r="233" spans="1:9" x14ac:dyDescent="0.15">
      <c r="A233" s="16">
        <f>実績データ!A233</f>
        <v>45979</v>
      </c>
      <c r="B233" s="8" t="str">
        <f>実績データ!C233</f>
        <v xml:space="preserve">D駐車場（横浜元町） </v>
      </c>
      <c r="C233" s="8" t="str">
        <f t="shared" si="9"/>
        <v>D駐車場（横浜元町）</v>
      </c>
      <c r="D233" s="8">
        <f>実績データ!F233</f>
        <v>103</v>
      </c>
      <c r="E233" s="17">
        <f>実績データ!G233</f>
        <v>130653</v>
      </c>
      <c r="F233" s="18">
        <f>実績データ!H233</f>
        <v>0.45317139265407358</v>
      </c>
      <c r="G233" s="8">
        <f>実績データ!I233</f>
        <v>64</v>
      </c>
      <c r="H233" s="8" t="str">
        <f t="shared" si="10"/>
        <v>2025-11</v>
      </c>
      <c r="I233" s="8" t="str">
        <f t="shared" si="11"/>
        <v>火</v>
      </c>
    </row>
    <row r="234" spans="1:9" x14ac:dyDescent="0.15">
      <c r="A234" s="16">
        <f>実績データ!A234</f>
        <v>45980</v>
      </c>
      <c r="B234" s="8" t="str">
        <f>実績データ!C234</f>
        <v xml:space="preserve">D駐車場（横浜元町） </v>
      </c>
      <c r="C234" s="8" t="str">
        <f t="shared" si="9"/>
        <v>D駐車場（横浜元町）</v>
      </c>
      <c r="D234" s="8">
        <f>実績データ!F234</f>
        <v>124</v>
      </c>
      <c r="E234" s="17">
        <f>実績データ!G234</f>
        <v>137757</v>
      </c>
      <c r="F234" s="18">
        <f>実績データ!H234</f>
        <v>0.44299903378018812</v>
      </c>
      <c r="G234" s="8">
        <f>実績データ!I234</f>
        <v>81</v>
      </c>
      <c r="H234" s="8" t="str">
        <f t="shared" si="10"/>
        <v>2025-11</v>
      </c>
      <c r="I234" s="8" t="str">
        <f t="shared" si="11"/>
        <v>水</v>
      </c>
    </row>
    <row r="235" spans="1:9" x14ac:dyDescent="0.15">
      <c r="A235" s="16">
        <f>実績データ!A235</f>
        <v>45981</v>
      </c>
      <c r="B235" s="8" t="str">
        <f>実績データ!C235</f>
        <v>C駐車場（池袋西口）</v>
      </c>
      <c r="C235" s="8" t="str">
        <f t="shared" si="9"/>
        <v>C駐車場（池袋西口）</v>
      </c>
      <c r="D235" s="8">
        <f>実績データ!F235</f>
        <v>122</v>
      </c>
      <c r="E235" s="17">
        <f>実績データ!G235</f>
        <v>143830</v>
      </c>
      <c r="F235" s="18">
        <f>実績データ!H235</f>
        <v>0.51464219463925509</v>
      </c>
      <c r="G235" s="8">
        <f>実績データ!I235</f>
        <v>62</v>
      </c>
      <c r="H235" s="8" t="str">
        <f t="shared" si="10"/>
        <v>2025-11</v>
      </c>
      <c r="I235" s="8" t="str">
        <f t="shared" si="11"/>
        <v>木</v>
      </c>
    </row>
    <row r="236" spans="1:9" x14ac:dyDescent="0.15">
      <c r="A236" s="16">
        <f>実績データ!A236</f>
        <v>45982</v>
      </c>
      <c r="B236" s="8" t="str">
        <f>実績データ!C236</f>
        <v>C駐車場（池袋西口）</v>
      </c>
      <c r="C236" s="8" t="str">
        <f t="shared" si="9"/>
        <v>C駐車場（池袋西口）</v>
      </c>
      <c r="D236" s="8">
        <f>実績データ!F236</f>
        <v>140</v>
      </c>
      <c r="E236" s="17">
        <f>実績データ!G236</f>
        <v>159033</v>
      </c>
      <c r="F236" s="18">
        <f>実績データ!H236</f>
        <v>0.56994935431585936</v>
      </c>
      <c r="G236" s="8">
        <f>実績データ!I236</f>
        <v>76</v>
      </c>
      <c r="H236" s="8" t="str">
        <f t="shared" si="10"/>
        <v>2025-11</v>
      </c>
      <c r="I236" s="8" t="str">
        <f t="shared" si="11"/>
        <v>金</v>
      </c>
    </row>
    <row r="237" spans="1:9" x14ac:dyDescent="0.15">
      <c r="A237" s="16">
        <f>実績データ!A237</f>
        <v>45983</v>
      </c>
      <c r="B237" s="8" t="str">
        <f>実績データ!C237</f>
        <v>B駐車場 (渋谷南)</v>
      </c>
      <c r="C237" s="8" t="str">
        <f t="shared" si="9"/>
        <v>B駐車場（渋谷南）</v>
      </c>
      <c r="D237" s="8">
        <f>実績データ!F237</f>
        <v>166</v>
      </c>
      <c r="E237" s="17">
        <f>実績データ!G237</f>
        <v>202836</v>
      </c>
      <c r="F237" s="18">
        <f>実績データ!H237</f>
        <v>0.59087526341147178</v>
      </c>
      <c r="G237" s="8">
        <f>実績データ!I237</f>
        <v>84</v>
      </c>
      <c r="H237" s="8" t="str">
        <f t="shared" si="10"/>
        <v>2025-11</v>
      </c>
      <c r="I237" s="8" t="str">
        <f t="shared" si="11"/>
        <v>土</v>
      </c>
    </row>
    <row r="238" spans="1:9" x14ac:dyDescent="0.15">
      <c r="A238" s="16">
        <f>実績データ!A238</f>
        <v>45984</v>
      </c>
      <c r="B238" s="8" t="str">
        <f>実績データ!C238</f>
        <v xml:space="preserve"> A駐車場（新宿駅前）</v>
      </c>
      <c r="C238" s="8" t="str">
        <f t="shared" si="9"/>
        <v>A駐車場（新宿駅前）</v>
      </c>
      <c r="D238" s="8">
        <f>実績データ!F238</f>
        <v>223</v>
      </c>
      <c r="E238" s="17">
        <f>実績データ!G238</f>
        <v>264733</v>
      </c>
      <c r="F238" s="18">
        <f>実績データ!H238</f>
        <v>0.88552808747335954</v>
      </c>
      <c r="G238" s="8">
        <f>実績データ!I238</f>
        <v>81</v>
      </c>
      <c r="H238" s="8" t="str">
        <f t="shared" si="10"/>
        <v>2025-11</v>
      </c>
      <c r="I238" s="8" t="str">
        <f t="shared" si="11"/>
        <v>日</v>
      </c>
    </row>
    <row r="239" spans="1:9" x14ac:dyDescent="0.15">
      <c r="A239" s="16">
        <f>実績データ!A239</f>
        <v>45985</v>
      </c>
      <c r="B239" s="8" t="str">
        <f>実績データ!C239</f>
        <v>C駐車場 (池袋西口)</v>
      </c>
      <c r="C239" s="8" t="str">
        <f t="shared" si="9"/>
        <v>C駐車場（池袋西口）</v>
      </c>
      <c r="D239" s="8">
        <f>実績データ!F239</f>
        <v>104</v>
      </c>
      <c r="E239" s="17">
        <f>実績データ!G239</f>
        <v>139351</v>
      </c>
      <c r="F239" s="18">
        <f>実績データ!H239</f>
        <v>0.41268767908594078</v>
      </c>
      <c r="G239" s="8">
        <f>実績データ!I239</f>
        <v>66</v>
      </c>
      <c r="H239" s="8" t="str">
        <f t="shared" si="10"/>
        <v>2025-11</v>
      </c>
      <c r="I239" s="8" t="str">
        <f t="shared" si="11"/>
        <v>月</v>
      </c>
    </row>
    <row r="240" spans="1:9" x14ac:dyDescent="0.15">
      <c r="A240" s="16">
        <f>実績データ!A240</f>
        <v>45986</v>
      </c>
      <c r="B240" s="8" t="str">
        <f>実績データ!C240</f>
        <v xml:space="preserve">B駐車場（渋谷南） </v>
      </c>
      <c r="C240" s="8" t="str">
        <f t="shared" si="9"/>
        <v>B駐車場（渋谷南）</v>
      </c>
      <c r="D240" s="8">
        <f>実績データ!F240</f>
        <v>128</v>
      </c>
      <c r="E240" s="17">
        <f>実績データ!G240</f>
        <v>170008</v>
      </c>
      <c r="F240" s="18">
        <f>実績データ!H240</f>
        <v>0.50102181667312784</v>
      </c>
      <c r="G240" s="8">
        <f>実績データ!I240</f>
        <v>77</v>
      </c>
      <c r="H240" s="8" t="str">
        <f t="shared" si="10"/>
        <v>2025-11</v>
      </c>
      <c r="I240" s="8" t="str">
        <f t="shared" si="11"/>
        <v>火</v>
      </c>
    </row>
    <row r="241" spans="1:9" x14ac:dyDescent="0.15">
      <c r="A241" s="16">
        <f>実績データ!A241</f>
        <v>45987</v>
      </c>
      <c r="B241" s="8" t="str">
        <f>実績データ!C241</f>
        <v xml:space="preserve"> C駐車場（池袋西口）</v>
      </c>
      <c r="C241" s="8" t="str">
        <f t="shared" si="9"/>
        <v>C駐車場（池袋西口）</v>
      </c>
      <c r="D241" s="8">
        <f>実績データ!F241</f>
        <v>118</v>
      </c>
      <c r="E241" s="17">
        <f>実績データ!G241</f>
        <v>139274</v>
      </c>
      <c r="F241" s="18">
        <f>実績データ!H241</f>
        <v>0.43866758691424568</v>
      </c>
      <c r="G241" s="8">
        <f>実績データ!I241</f>
        <v>66</v>
      </c>
      <c r="H241" s="8" t="str">
        <f t="shared" si="10"/>
        <v>2025-11</v>
      </c>
      <c r="I241" s="8" t="str">
        <f t="shared" si="11"/>
        <v>水</v>
      </c>
    </row>
    <row r="242" spans="1:9" x14ac:dyDescent="0.15">
      <c r="A242" s="16">
        <f>実績データ!A242</f>
        <v>45988</v>
      </c>
      <c r="B242" s="8" t="str">
        <f>実績データ!C242</f>
        <v xml:space="preserve">D駐車場（横浜元町） </v>
      </c>
      <c r="C242" s="8" t="str">
        <f t="shared" si="9"/>
        <v>D駐車場（横浜元町）</v>
      </c>
      <c r="D242" s="8">
        <f>実績データ!F242</f>
        <v>119</v>
      </c>
      <c r="E242" s="17">
        <f>実績データ!G242</f>
        <v>135100</v>
      </c>
      <c r="F242" s="18">
        <f>実績データ!H242</f>
        <v>0.42976320399827561</v>
      </c>
      <c r="G242" s="8">
        <f>実績データ!I242</f>
        <v>69</v>
      </c>
      <c r="H242" s="8" t="str">
        <f t="shared" si="10"/>
        <v>2025-11</v>
      </c>
      <c r="I242" s="8" t="str">
        <f t="shared" si="11"/>
        <v>木</v>
      </c>
    </row>
    <row r="243" spans="1:9" x14ac:dyDescent="0.15">
      <c r="A243" s="16">
        <f>実績データ!A243</f>
        <v>45989</v>
      </c>
      <c r="B243" s="8" t="str">
        <f>実績データ!C243</f>
        <v>D駐車場 (横浜元町)</v>
      </c>
      <c r="C243" s="8" t="str">
        <f t="shared" si="9"/>
        <v>D駐車場（横浜元町）</v>
      </c>
      <c r="D243" s="8">
        <f>実績データ!F243</f>
        <v>95</v>
      </c>
      <c r="E243" s="17">
        <f>実績データ!G243</f>
        <v>95811</v>
      </c>
      <c r="F243" s="18">
        <f>実績データ!H243</f>
        <v>0.39699866982221987</v>
      </c>
      <c r="G243" s="8">
        <f>実績データ!I243</f>
        <v>70</v>
      </c>
      <c r="H243" s="8" t="str">
        <f t="shared" si="10"/>
        <v>2025-11</v>
      </c>
      <c r="I243" s="8" t="str">
        <f t="shared" si="11"/>
        <v>金</v>
      </c>
    </row>
    <row r="244" spans="1:9" x14ac:dyDescent="0.15">
      <c r="A244" s="16">
        <f>実績データ!A244</f>
        <v>45990</v>
      </c>
      <c r="B244" s="8" t="str">
        <f>実績データ!C244</f>
        <v>B駐車場（渋谷南）</v>
      </c>
      <c r="C244" s="8" t="str">
        <f t="shared" si="9"/>
        <v>B駐車場（渋谷南）</v>
      </c>
      <c r="D244" s="8">
        <f>実績データ!F244</f>
        <v>152</v>
      </c>
      <c r="E244" s="17">
        <f>実績データ!G244</f>
        <v>177486</v>
      </c>
      <c r="F244" s="18">
        <f>実績データ!H244</f>
        <v>0.5539680774000989</v>
      </c>
      <c r="G244" s="8">
        <f>実績データ!I244</f>
        <v>82</v>
      </c>
      <c r="H244" s="8" t="str">
        <f t="shared" si="10"/>
        <v>2025-11</v>
      </c>
      <c r="I244" s="8" t="str">
        <f t="shared" si="11"/>
        <v>土</v>
      </c>
    </row>
    <row r="245" spans="1:9" x14ac:dyDescent="0.15">
      <c r="A245" s="16">
        <f>実績データ!A245</f>
        <v>45991</v>
      </c>
      <c r="B245" s="8" t="str">
        <f>実績データ!C245</f>
        <v xml:space="preserve"> A駐車場（新宿駅前）</v>
      </c>
      <c r="C245" s="8" t="str">
        <f t="shared" si="9"/>
        <v>A駐車場（新宿駅前）</v>
      </c>
      <c r="D245" s="8">
        <f>実績データ!F245</f>
        <v>181</v>
      </c>
      <c r="E245" s="17">
        <f>実績データ!G245</f>
        <v>226879</v>
      </c>
      <c r="F245" s="18">
        <f>実績データ!H245</f>
        <v>0.68436304339653353</v>
      </c>
      <c r="G245" s="8">
        <f>実績データ!I245</f>
        <v>77</v>
      </c>
      <c r="H245" s="8" t="str">
        <f t="shared" si="10"/>
        <v>2025-11</v>
      </c>
      <c r="I245" s="8" t="str">
        <f t="shared" si="11"/>
        <v>日</v>
      </c>
    </row>
    <row r="246" spans="1:9" x14ac:dyDescent="0.15">
      <c r="A246" s="16">
        <f>実績データ!A246</f>
        <v>45992</v>
      </c>
      <c r="B246" s="8" t="str">
        <f>実績データ!C246</f>
        <v xml:space="preserve">D駐車場（横浜元町） </v>
      </c>
      <c r="C246" s="8" t="str">
        <f t="shared" si="9"/>
        <v>D駐車場（横浜元町）</v>
      </c>
      <c r="D246" s="8">
        <f>実績データ!F246</f>
        <v>113</v>
      </c>
      <c r="E246" s="17">
        <f>実績データ!G246</f>
        <v>102435</v>
      </c>
      <c r="F246" s="18">
        <f>実績データ!H246</f>
        <v>0.41663736567343351</v>
      </c>
      <c r="G246" s="8">
        <f>実績データ!I246</f>
        <v>82</v>
      </c>
      <c r="H246" s="8" t="str">
        <f t="shared" si="10"/>
        <v>2025-12</v>
      </c>
      <c r="I246" s="8" t="str">
        <f t="shared" si="11"/>
        <v>月</v>
      </c>
    </row>
    <row r="247" spans="1:9" x14ac:dyDescent="0.15">
      <c r="A247" s="16">
        <f>実績データ!A247</f>
        <v>45993</v>
      </c>
      <c r="B247" s="8" t="str">
        <f>実績データ!C247</f>
        <v>B駐車場 (渋谷南)</v>
      </c>
      <c r="C247" s="8" t="str">
        <f t="shared" si="9"/>
        <v>B駐車場（渋谷南）</v>
      </c>
      <c r="D247" s="8">
        <f>実績データ!F247</f>
        <v>168</v>
      </c>
      <c r="E247" s="17">
        <f>実績データ!G247</f>
        <v>210610</v>
      </c>
      <c r="F247" s="18">
        <f>実績データ!H247</f>
        <v>0.6336841287955246</v>
      </c>
      <c r="G247" s="8">
        <f>実績データ!I247</f>
        <v>85</v>
      </c>
      <c r="H247" s="8" t="str">
        <f t="shared" si="10"/>
        <v>2025-12</v>
      </c>
      <c r="I247" s="8" t="str">
        <f t="shared" si="11"/>
        <v>火</v>
      </c>
    </row>
    <row r="248" spans="1:9" x14ac:dyDescent="0.15">
      <c r="A248" s="16">
        <f>実績データ!A248</f>
        <v>45994</v>
      </c>
      <c r="B248" s="8" t="str">
        <f>実績データ!C248</f>
        <v>C駐車場 (池袋西口)</v>
      </c>
      <c r="C248" s="8" t="str">
        <f t="shared" si="9"/>
        <v>C駐車場（池袋西口）</v>
      </c>
      <c r="D248" s="8">
        <f>実績データ!F248</f>
        <v>109</v>
      </c>
      <c r="E248" s="17">
        <f>実績データ!G248</f>
        <v>135978</v>
      </c>
      <c r="F248" s="18">
        <f>実績データ!H248</f>
        <v>0.45772620118299062</v>
      </c>
      <c r="G248" s="8">
        <f>実績データ!I248</f>
        <v>65</v>
      </c>
      <c r="H248" s="8" t="str">
        <f t="shared" si="10"/>
        <v>2025-12</v>
      </c>
      <c r="I248" s="8" t="str">
        <f t="shared" si="11"/>
        <v>水</v>
      </c>
    </row>
    <row r="249" spans="1:9" x14ac:dyDescent="0.15">
      <c r="A249" s="16">
        <f>実績データ!A249</f>
        <v>45995</v>
      </c>
      <c r="B249" s="8" t="str">
        <f>実績データ!C249</f>
        <v>D駐車場（横浜元町）</v>
      </c>
      <c r="C249" s="8" t="str">
        <f t="shared" si="9"/>
        <v>D駐車場（横浜元町）</v>
      </c>
      <c r="D249" s="8">
        <f>実績データ!F249</f>
        <v>101</v>
      </c>
      <c r="E249" s="17">
        <f>実績データ!G249</f>
        <v>92863</v>
      </c>
      <c r="F249" s="18">
        <f>実績データ!H249</f>
        <v>0.39136965813041602</v>
      </c>
      <c r="G249" s="8">
        <f>実績データ!I249</f>
        <v>55</v>
      </c>
      <c r="H249" s="8" t="str">
        <f t="shared" si="10"/>
        <v>2025-12</v>
      </c>
      <c r="I249" s="8" t="str">
        <f t="shared" si="11"/>
        <v>木</v>
      </c>
    </row>
    <row r="250" spans="1:9" x14ac:dyDescent="0.15">
      <c r="A250" s="16">
        <f>実績データ!A250</f>
        <v>45996</v>
      </c>
      <c r="B250" s="8" t="str">
        <f>実績データ!C250</f>
        <v>D駐車場 (横浜元町)</v>
      </c>
      <c r="C250" s="8" t="str">
        <f t="shared" si="9"/>
        <v>D駐車場（横浜元町）</v>
      </c>
      <c r="D250" s="8">
        <f>実績データ!F250</f>
        <v>96</v>
      </c>
      <c r="E250" s="17">
        <f>実績データ!G250</f>
        <v>110317</v>
      </c>
      <c r="F250" s="18">
        <f>実績データ!H250</f>
        <v>0.38405008365383858</v>
      </c>
      <c r="G250" s="8">
        <f>実績データ!I250</f>
        <v>68</v>
      </c>
      <c r="H250" s="8" t="str">
        <f t="shared" si="10"/>
        <v>2025-12</v>
      </c>
      <c r="I250" s="8" t="str">
        <f t="shared" si="11"/>
        <v>金</v>
      </c>
    </row>
    <row r="251" spans="1:9" x14ac:dyDescent="0.15">
      <c r="A251" s="16">
        <f>実績データ!A251</f>
        <v>45997</v>
      </c>
      <c r="B251" s="8" t="str">
        <f>実績データ!C251</f>
        <v>B駐車場（渋谷南）</v>
      </c>
      <c r="C251" s="8" t="str">
        <f t="shared" si="9"/>
        <v>B駐車場（渋谷南）</v>
      </c>
      <c r="D251" s="8">
        <f>実績データ!F251</f>
        <v>164</v>
      </c>
      <c r="E251" s="17">
        <f>実績データ!G251</f>
        <v>216188</v>
      </c>
      <c r="F251" s="18">
        <f>実績データ!H251</f>
        <v>0.64844949336082036</v>
      </c>
      <c r="G251" s="8">
        <f>実績データ!I251</f>
        <v>81</v>
      </c>
      <c r="H251" s="8" t="str">
        <f t="shared" si="10"/>
        <v>2025-12</v>
      </c>
      <c r="I251" s="8" t="str">
        <f t="shared" si="11"/>
        <v>土</v>
      </c>
    </row>
    <row r="252" spans="1:9" x14ac:dyDescent="0.15">
      <c r="A252" s="16">
        <f>実績データ!A252</f>
        <v>45998</v>
      </c>
      <c r="B252" s="8" t="str">
        <f>実績データ!C252</f>
        <v>A駐車場 (新宿駅前)</v>
      </c>
      <c r="C252" s="8" t="str">
        <f t="shared" si="9"/>
        <v>A駐車場（新宿駅前）</v>
      </c>
      <c r="D252" s="8">
        <f>実績データ!F252</f>
        <v>159</v>
      </c>
      <c r="E252" s="17">
        <f>実績データ!G252</f>
        <v>198133</v>
      </c>
      <c r="F252" s="18">
        <f>実績データ!H252</f>
        <v>0.59990968233627529</v>
      </c>
      <c r="G252" s="8">
        <f>実績データ!I252</f>
        <v>72</v>
      </c>
      <c r="H252" s="8" t="str">
        <f t="shared" si="10"/>
        <v>2025-12</v>
      </c>
      <c r="I252" s="8" t="str">
        <f t="shared" si="11"/>
        <v>日</v>
      </c>
    </row>
    <row r="253" spans="1:9" x14ac:dyDescent="0.15">
      <c r="A253" s="16">
        <f>実績データ!A253</f>
        <v>45999</v>
      </c>
      <c r="B253" s="8" t="str">
        <f>実績データ!C253</f>
        <v xml:space="preserve"> A駐車場（新宿駅前）</v>
      </c>
      <c r="C253" s="8" t="str">
        <f t="shared" si="9"/>
        <v>A駐車場（新宿駅前）</v>
      </c>
      <c r="D253" s="8">
        <f>実績データ!F253</f>
        <v>140</v>
      </c>
      <c r="E253" s="17">
        <f>実績データ!G253</f>
        <v>184238</v>
      </c>
      <c r="F253" s="18">
        <f>実績データ!H253</f>
        <v>0.53724919346773936</v>
      </c>
      <c r="G253" s="8">
        <f>実績データ!I253</f>
        <v>61</v>
      </c>
      <c r="H253" s="8" t="str">
        <f t="shared" si="10"/>
        <v>2025-12</v>
      </c>
      <c r="I253" s="8" t="str">
        <f t="shared" si="11"/>
        <v>月</v>
      </c>
    </row>
    <row r="254" spans="1:9" x14ac:dyDescent="0.15">
      <c r="A254" s="16">
        <f>実績データ!A254</f>
        <v>46000</v>
      </c>
      <c r="B254" s="8" t="str">
        <f>実績データ!C254</f>
        <v>A駐車場（新宿駅前）</v>
      </c>
      <c r="C254" s="8" t="str">
        <f t="shared" si="9"/>
        <v>A駐車場（新宿駅前）</v>
      </c>
      <c r="D254" s="8">
        <f>実績データ!F254</f>
        <v>161</v>
      </c>
      <c r="E254" s="17">
        <f>実績データ!G254</f>
        <v>195337</v>
      </c>
      <c r="F254" s="18">
        <f>実績データ!H254</f>
        <v>0.69982073262885958</v>
      </c>
      <c r="G254" s="8">
        <f>実績データ!I254</f>
        <v>57</v>
      </c>
      <c r="H254" s="8" t="str">
        <f t="shared" si="10"/>
        <v>2025-12</v>
      </c>
      <c r="I254" s="8" t="str">
        <f t="shared" si="11"/>
        <v>火</v>
      </c>
    </row>
    <row r="255" spans="1:9" x14ac:dyDescent="0.15">
      <c r="A255" s="16">
        <f>実績データ!A255</f>
        <v>46001</v>
      </c>
      <c r="B255" s="8" t="str">
        <f>実績データ!C255</f>
        <v xml:space="preserve">D駐車場（横浜元町） </v>
      </c>
      <c r="C255" s="8" t="str">
        <f t="shared" si="9"/>
        <v>D駐車場（横浜元町）</v>
      </c>
      <c r="D255" s="8">
        <f>実績データ!F255</f>
        <v>119</v>
      </c>
      <c r="E255" s="17">
        <f>実績データ!G255</f>
        <v>145087</v>
      </c>
      <c r="F255" s="18">
        <f>実績データ!H255</f>
        <v>0.42204550234639721</v>
      </c>
      <c r="G255" s="8">
        <f>実績データ!I255</f>
        <v>59</v>
      </c>
      <c r="H255" s="8" t="str">
        <f t="shared" si="10"/>
        <v>2025-12</v>
      </c>
      <c r="I255" s="8" t="str">
        <f t="shared" si="11"/>
        <v>水</v>
      </c>
    </row>
    <row r="256" spans="1:9" x14ac:dyDescent="0.15">
      <c r="A256" s="16">
        <f>実績データ!A256</f>
        <v>46002</v>
      </c>
      <c r="B256" s="8" t="str">
        <f>実績データ!C256</f>
        <v>D駐車場 (横浜元町)</v>
      </c>
      <c r="C256" s="8" t="str">
        <f t="shared" si="9"/>
        <v>D駐車場（横浜元町）</v>
      </c>
      <c r="D256" s="8">
        <f>実績データ!F256</f>
        <v>141</v>
      </c>
      <c r="E256" s="17">
        <f>実績データ!G256</f>
        <v>145871</v>
      </c>
      <c r="F256" s="18">
        <f>実績データ!H256</f>
        <v>0.50465517823053818</v>
      </c>
      <c r="G256" s="8">
        <f>実績データ!I256</f>
        <v>78</v>
      </c>
      <c r="H256" s="8" t="str">
        <f t="shared" si="10"/>
        <v>2025-12</v>
      </c>
      <c r="I256" s="8" t="str">
        <f t="shared" si="11"/>
        <v>木</v>
      </c>
    </row>
    <row r="257" spans="1:9" x14ac:dyDescent="0.15">
      <c r="A257" s="16">
        <f>実績データ!A257</f>
        <v>46003</v>
      </c>
      <c r="B257" s="8" t="str">
        <f>実績データ!C257</f>
        <v>A駐車場（新宿駅前）</v>
      </c>
      <c r="C257" s="8" t="str">
        <f t="shared" si="9"/>
        <v>A駐車場（新宿駅前）</v>
      </c>
      <c r="D257" s="8">
        <f>実績データ!F257</f>
        <v>177</v>
      </c>
      <c r="E257" s="17">
        <f>実績データ!G257</f>
        <v>229358</v>
      </c>
      <c r="F257" s="18">
        <f>実績データ!H257</f>
        <v>0.62522705767963371</v>
      </c>
      <c r="G257" s="8">
        <f>実績データ!I257</f>
        <v>69</v>
      </c>
      <c r="H257" s="8" t="str">
        <f t="shared" si="10"/>
        <v>2025-12</v>
      </c>
      <c r="I257" s="8" t="str">
        <f t="shared" si="11"/>
        <v>金</v>
      </c>
    </row>
    <row r="258" spans="1:9" x14ac:dyDescent="0.15">
      <c r="A258" s="16">
        <f>実績データ!A258</f>
        <v>46004</v>
      </c>
      <c r="B258" s="8" t="str">
        <f>実績データ!C258</f>
        <v>C駐車場（池袋西口）</v>
      </c>
      <c r="C258" s="8" t="str">
        <f t="shared" ref="C258:C321" si="12">SUBSTITUTE(SUBSTITUTE(SUBSTITUTE(SUBSTITUTE(B258," ",""),"　",""),"(","（"),")","）")</f>
        <v>C駐車場（池袋西口）</v>
      </c>
      <c r="D258" s="8">
        <f>実績データ!F258</f>
        <v>102</v>
      </c>
      <c r="E258" s="17">
        <f>実績データ!G258</f>
        <v>125785</v>
      </c>
      <c r="F258" s="18">
        <f>実績データ!H258</f>
        <v>0.36193780986249419</v>
      </c>
      <c r="G258" s="8">
        <f>実績データ!I258</f>
        <v>71</v>
      </c>
      <c r="H258" s="8" t="str">
        <f t="shared" ref="H258:H321" si="13">TEXT(A258,"yyyy-mm")</f>
        <v>2025-12</v>
      </c>
      <c r="I258" s="8" t="str">
        <f t="shared" ref="I258:I321" si="14">TEXT(A258,"aaa")</f>
        <v>土</v>
      </c>
    </row>
    <row r="259" spans="1:9" x14ac:dyDescent="0.15">
      <c r="A259" s="16">
        <f>実績データ!A259</f>
        <v>46005</v>
      </c>
      <c r="B259" s="8" t="str">
        <f>実績データ!C259</f>
        <v>C駐車場 (池袋西口)</v>
      </c>
      <c r="C259" s="8" t="str">
        <f t="shared" si="12"/>
        <v>C駐車場（池袋西口）</v>
      </c>
      <c r="D259" s="8">
        <f>実績データ!F259</f>
        <v>136</v>
      </c>
      <c r="E259" s="17">
        <f>実績データ!G259</f>
        <v>168257</v>
      </c>
      <c r="F259" s="18">
        <f>実績データ!H259</f>
        <v>0.56528133044084994</v>
      </c>
      <c r="G259" s="8">
        <f>実績データ!I259</f>
        <v>58</v>
      </c>
      <c r="H259" s="8" t="str">
        <f t="shared" si="13"/>
        <v>2025-12</v>
      </c>
      <c r="I259" s="8" t="str">
        <f t="shared" si="14"/>
        <v>日</v>
      </c>
    </row>
    <row r="260" spans="1:9" x14ac:dyDescent="0.15">
      <c r="A260" s="16">
        <f>実績データ!A260</f>
        <v>46006</v>
      </c>
      <c r="B260" s="8" t="str">
        <f>実績データ!C260</f>
        <v>A駐車場（新宿駅前）</v>
      </c>
      <c r="C260" s="8" t="str">
        <f t="shared" si="12"/>
        <v>A駐車場（新宿駅前）</v>
      </c>
      <c r="D260" s="8">
        <f>実績データ!F260</f>
        <v>169</v>
      </c>
      <c r="E260" s="17">
        <f>実績データ!G260</f>
        <v>210651</v>
      </c>
      <c r="F260" s="18">
        <f>実績データ!H260</f>
        <v>0.61837643144497412</v>
      </c>
      <c r="G260" s="8">
        <f>実績データ!I260</f>
        <v>67</v>
      </c>
      <c r="H260" s="8" t="str">
        <f t="shared" si="13"/>
        <v>2025-12</v>
      </c>
      <c r="I260" s="8" t="str">
        <f t="shared" si="14"/>
        <v>月</v>
      </c>
    </row>
    <row r="261" spans="1:9" x14ac:dyDescent="0.15">
      <c r="A261" s="16">
        <f>実績データ!A261</f>
        <v>46007</v>
      </c>
      <c r="B261" s="8" t="str">
        <f>実績データ!C261</f>
        <v>D駐車場 (横浜元町)</v>
      </c>
      <c r="C261" s="8" t="str">
        <f t="shared" si="12"/>
        <v>D駐車場（横浜元町）</v>
      </c>
      <c r="D261" s="8">
        <f>実績データ!F261</f>
        <v>95</v>
      </c>
      <c r="E261" s="17">
        <f>実績データ!G261</f>
        <v>116743</v>
      </c>
      <c r="F261" s="18">
        <f>実績データ!H261</f>
        <v>0.36705290178399302</v>
      </c>
      <c r="G261" s="8">
        <f>実績データ!I261</f>
        <v>56</v>
      </c>
      <c r="H261" s="8" t="str">
        <f t="shared" si="13"/>
        <v>2025-12</v>
      </c>
      <c r="I261" s="8" t="str">
        <f t="shared" si="14"/>
        <v>火</v>
      </c>
    </row>
    <row r="262" spans="1:9" x14ac:dyDescent="0.15">
      <c r="A262" s="16">
        <f>実績データ!A262</f>
        <v>46008</v>
      </c>
      <c r="B262" s="8" t="str">
        <f>実績データ!C262</f>
        <v>B駐車場（渋谷南）</v>
      </c>
      <c r="C262" s="8" t="str">
        <f t="shared" si="12"/>
        <v>B駐車場（渋谷南）</v>
      </c>
      <c r="D262" s="8">
        <f>実績データ!F262</f>
        <v>176</v>
      </c>
      <c r="E262" s="17">
        <f>実績データ!G262</f>
        <v>200418</v>
      </c>
      <c r="F262" s="18">
        <f>実績データ!H262</f>
        <v>0.65710162425046847</v>
      </c>
      <c r="G262" s="8">
        <f>実績データ!I262</f>
        <v>87</v>
      </c>
      <c r="H262" s="8" t="str">
        <f t="shared" si="13"/>
        <v>2025-12</v>
      </c>
      <c r="I262" s="8" t="str">
        <f t="shared" si="14"/>
        <v>水</v>
      </c>
    </row>
    <row r="263" spans="1:9" x14ac:dyDescent="0.15">
      <c r="A263" s="16">
        <f>実績データ!A263</f>
        <v>46009</v>
      </c>
      <c r="B263" s="8" t="str">
        <f>実績データ!C263</f>
        <v>B駐車場 (渋谷南)</v>
      </c>
      <c r="C263" s="8" t="str">
        <f t="shared" si="12"/>
        <v>B駐車場（渋谷南）</v>
      </c>
      <c r="D263" s="8">
        <f>実績データ!F263</f>
        <v>187</v>
      </c>
      <c r="E263" s="17">
        <f>実績データ!G263</f>
        <v>230572</v>
      </c>
      <c r="F263" s="18">
        <f>実績データ!H263</f>
        <v>0.69519274571987255</v>
      </c>
      <c r="G263" s="8">
        <f>実績データ!I263</f>
        <v>81</v>
      </c>
      <c r="H263" s="8" t="str">
        <f t="shared" si="13"/>
        <v>2025-12</v>
      </c>
      <c r="I263" s="8" t="str">
        <f t="shared" si="14"/>
        <v>木</v>
      </c>
    </row>
    <row r="264" spans="1:9" x14ac:dyDescent="0.15">
      <c r="A264" s="16">
        <f>実績データ!A264</f>
        <v>46010</v>
      </c>
      <c r="B264" s="8" t="str">
        <f>実績データ!C264</f>
        <v>D駐車場 (横浜元町)</v>
      </c>
      <c r="C264" s="8" t="str">
        <f t="shared" si="12"/>
        <v>D駐車場（横浜元町）</v>
      </c>
      <c r="D264" s="8">
        <f>実績データ!F264</f>
        <v>132</v>
      </c>
      <c r="E264" s="17">
        <f>実績データ!G264</f>
        <v>157641</v>
      </c>
      <c r="F264" s="18">
        <f>実績データ!H264</f>
        <v>0.4863906829353562</v>
      </c>
      <c r="G264" s="8">
        <f>実績データ!I264</f>
        <v>63</v>
      </c>
      <c r="H264" s="8" t="str">
        <f t="shared" si="13"/>
        <v>2025-12</v>
      </c>
      <c r="I264" s="8" t="str">
        <f t="shared" si="14"/>
        <v>金</v>
      </c>
    </row>
    <row r="265" spans="1:9" x14ac:dyDescent="0.15">
      <c r="A265" s="16">
        <f>実績データ!A265</f>
        <v>46011</v>
      </c>
      <c r="B265" s="8" t="str">
        <f>実績データ!C265</f>
        <v xml:space="preserve">D駐車場（横浜元町） </v>
      </c>
      <c r="C265" s="8" t="str">
        <f t="shared" si="12"/>
        <v>D駐車場（横浜元町）</v>
      </c>
      <c r="D265" s="8">
        <f>実績データ!F265</f>
        <v>137</v>
      </c>
      <c r="E265" s="17">
        <f>実績データ!G265</f>
        <v>169692</v>
      </c>
      <c r="F265" s="18">
        <f>実績データ!H265</f>
        <v>0.52802298799951664</v>
      </c>
      <c r="G265" s="8">
        <f>実績データ!I265</f>
        <v>60</v>
      </c>
      <c r="H265" s="8" t="str">
        <f t="shared" si="13"/>
        <v>2025-12</v>
      </c>
      <c r="I265" s="8" t="str">
        <f t="shared" si="14"/>
        <v>土</v>
      </c>
    </row>
    <row r="266" spans="1:9" x14ac:dyDescent="0.15">
      <c r="A266" s="16">
        <f>実績データ!A266</f>
        <v>46012</v>
      </c>
      <c r="B266" s="8" t="str">
        <f>実績データ!C266</f>
        <v xml:space="preserve">D駐車場（横浜元町） </v>
      </c>
      <c r="C266" s="8" t="str">
        <f t="shared" si="12"/>
        <v>D駐車場（横浜元町）</v>
      </c>
      <c r="D266" s="8">
        <f>実績データ!F266</f>
        <v>146</v>
      </c>
      <c r="E266" s="17">
        <f>実績データ!G266</f>
        <v>162945</v>
      </c>
      <c r="F266" s="18">
        <f>実績データ!H266</f>
        <v>0.60530678066473087</v>
      </c>
      <c r="G266" s="8">
        <f>実績データ!I266</f>
        <v>67</v>
      </c>
      <c r="H266" s="8" t="str">
        <f t="shared" si="13"/>
        <v>2025-12</v>
      </c>
      <c r="I266" s="8" t="str">
        <f t="shared" si="14"/>
        <v>日</v>
      </c>
    </row>
    <row r="267" spans="1:9" x14ac:dyDescent="0.15">
      <c r="A267" s="16">
        <f>実績データ!A267</f>
        <v>46013</v>
      </c>
      <c r="B267" s="8" t="str">
        <f>実績データ!C267</f>
        <v>C駐車場 (池袋西口)</v>
      </c>
      <c r="C267" s="8" t="str">
        <f t="shared" si="12"/>
        <v>C駐車場（池袋西口）</v>
      </c>
      <c r="D267" s="8">
        <f>実績データ!F267</f>
        <v>130</v>
      </c>
      <c r="E267" s="17">
        <f>実績データ!G267</f>
        <v>171271</v>
      </c>
      <c r="F267" s="18">
        <f>実績データ!H267</f>
        <v>0.55989537807788481</v>
      </c>
      <c r="G267" s="8">
        <f>実績データ!I267</f>
        <v>60</v>
      </c>
      <c r="H267" s="8" t="str">
        <f t="shared" si="13"/>
        <v>2025-12</v>
      </c>
      <c r="I267" s="8" t="str">
        <f t="shared" si="14"/>
        <v>月</v>
      </c>
    </row>
    <row r="268" spans="1:9" x14ac:dyDescent="0.15">
      <c r="A268" s="16">
        <f>実績データ!A268</f>
        <v>46014</v>
      </c>
      <c r="B268" s="8" t="str">
        <f>実績データ!C268</f>
        <v>A駐車場 (新宿駅前)</v>
      </c>
      <c r="C268" s="8" t="str">
        <f t="shared" si="12"/>
        <v>A駐車場（新宿駅前）</v>
      </c>
      <c r="D268" s="8">
        <f>実績データ!F268</f>
        <v>168</v>
      </c>
      <c r="E268" s="17">
        <f>実績データ!G268</f>
        <v>222798</v>
      </c>
      <c r="F268" s="18">
        <f>実績データ!H268</f>
        <v>0.58933938582418555</v>
      </c>
      <c r="G268" s="8">
        <f>実績データ!I268</f>
        <v>62</v>
      </c>
      <c r="H268" s="8" t="str">
        <f t="shared" si="13"/>
        <v>2025-12</v>
      </c>
      <c r="I268" s="8" t="str">
        <f t="shared" si="14"/>
        <v>火</v>
      </c>
    </row>
    <row r="269" spans="1:9" x14ac:dyDescent="0.15">
      <c r="A269" s="16">
        <f>実績データ!A269</f>
        <v>46015</v>
      </c>
      <c r="B269" s="8" t="str">
        <f>実績データ!C269</f>
        <v>D駐車場（横浜元町）</v>
      </c>
      <c r="C269" s="8" t="str">
        <f t="shared" si="12"/>
        <v>D駐車場（横浜元町）</v>
      </c>
      <c r="D269" s="8">
        <f>実績データ!F269</f>
        <v>128</v>
      </c>
      <c r="E269" s="17">
        <f>実績データ!G269</f>
        <v>175048</v>
      </c>
      <c r="F269" s="18">
        <f>実績データ!H269</f>
        <v>0.46717255053891438</v>
      </c>
      <c r="G269" s="8">
        <f>実績データ!I269</f>
        <v>86</v>
      </c>
      <c r="H269" s="8" t="str">
        <f t="shared" si="13"/>
        <v>2025-12</v>
      </c>
      <c r="I269" s="8" t="str">
        <f t="shared" si="14"/>
        <v>水</v>
      </c>
    </row>
    <row r="270" spans="1:9" x14ac:dyDescent="0.15">
      <c r="A270" s="16">
        <f>実績データ!A270</f>
        <v>46016</v>
      </c>
      <c r="B270" s="8" t="str">
        <f>実績データ!C270</f>
        <v>D駐車場 (横浜元町)</v>
      </c>
      <c r="C270" s="8" t="str">
        <f t="shared" si="12"/>
        <v>D駐車場（横浜元町）</v>
      </c>
      <c r="D270" s="8">
        <f>実績データ!F270</f>
        <v>142</v>
      </c>
      <c r="E270" s="17">
        <f>実績データ!G270</f>
        <v>156662</v>
      </c>
      <c r="F270" s="18">
        <f>実績データ!H270</f>
        <v>0.53607712971929766</v>
      </c>
      <c r="G270" s="8">
        <f>実績データ!I270</f>
        <v>62</v>
      </c>
      <c r="H270" s="8" t="str">
        <f t="shared" si="13"/>
        <v>2025-12</v>
      </c>
      <c r="I270" s="8" t="str">
        <f t="shared" si="14"/>
        <v>木</v>
      </c>
    </row>
    <row r="271" spans="1:9" x14ac:dyDescent="0.15">
      <c r="A271" s="16">
        <f>実績データ!A271</f>
        <v>46017</v>
      </c>
      <c r="B271" s="8" t="str">
        <f>実績データ!C271</f>
        <v xml:space="preserve"> C駐車場（池袋西口）</v>
      </c>
      <c r="C271" s="8" t="str">
        <f t="shared" si="12"/>
        <v>C駐車場（池袋西口）</v>
      </c>
      <c r="D271" s="8">
        <f>実績データ!F271</f>
        <v>107</v>
      </c>
      <c r="E271" s="17">
        <f>実績データ!G271</f>
        <v>137431</v>
      </c>
      <c r="F271" s="18">
        <f>実績データ!H271</f>
        <v>0.39426279919386042</v>
      </c>
      <c r="G271" s="8">
        <f>実績データ!I271</f>
        <v>72</v>
      </c>
      <c r="H271" s="8" t="str">
        <f t="shared" si="13"/>
        <v>2025-12</v>
      </c>
      <c r="I271" s="8" t="str">
        <f t="shared" si="14"/>
        <v>金</v>
      </c>
    </row>
    <row r="272" spans="1:9" x14ac:dyDescent="0.15">
      <c r="A272" s="16">
        <f>実績データ!A272</f>
        <v>46018</v>
      </c>
      <c r="B272" s="8" t="str">
        <f>実績データ!C272</f>
        <v>D駐車場 (横浜元町)</v>
      </c>
      <c r="C272" s="8" t="str">
        <f t="shared" si="12"/>
        <v>D駐車場（横浜元町）</v>
      </c>
      <c r="D272" s="8">
        <f>実績データ!F272</f>
        <v>129</v>
      </c>
      <c r="E272" s="17">
        <f>実績データ!G272</f>
        <v>140414</v>
      </c>
      <c r="F272" s="18">
        <f>実績データ!H272</f>
        <v>0.50495578517911488</v>
      </c>
      <c r="G272" s="8">
        <f>実績データ!I272</f>
        <v>76</v>
      </c>
      <c r="H272" s="8" t="str">
        <f t="shared" si="13"/>
        <v>2025-12</v>
      </c>
      <c r="I272" s="8" t="str">
        <f t="shared" si="14"/>
        <v>土</v>
      </c>
    </row>
    <row r="273" spans="1:9" x14ac:dyDescent="0.15">
      <c r="A273" s="16">
        <f>実績データ!A273</f>
        <v>46019</v>
      </c>
      <c r="B273" s="8" t="str">
        <f>実績データ!C273</f>
        <v>B駐車場（渋谷南）</v>
      </c>
      <c r="C273" s="8" t="str">
        <f t="shared" si="12"/>
        <v>B駐車場（渋谷南）</v>
      </c>
      <c r="D273" s="8">
        <f>実績データ!F273</f>
        <v>205</v>
      </c>
      <c r="E273" s="17">
        <f>実績データ!G273</f>
        <v>255749</v>
      </c>
      <c r="F273" s="18">
        <f>実績データ!H273</f>
        <v>0.74021977738835809</v>
      </c>
      <c r="G273" s="8">
        <f>実績データ!I273</f>
        <v>71</v>
      </c>
      <c r="H273" s="8" t="str">
        <f t="shared" si="13"/>
        <v>2025-12</v>
      </c>
      <c r="I273" s="8" t="str">
        <f t="shared" si="14"/>
        <v>日</v>
      </c>
    </row>
    <row r="274" spans="1:9" x14ac:dyDescent="0.15">
      <c r="A274" s="16">
        <f>実績データ!A274</f>
        <v>46020</v>
      </c>
      <c r="B274" s="8" t="str">
        <f>実績データ!C274</f>
        <v xml:space="preserve"> C駐車場（池袋西口）</v>
      </c>
      <c r="C274" s="8" t="str">
        <f t="shared" si="12"/>
        <v>C駐車場（池袋西口）</v>
      </c>
      <c r="D274" s="8">
        <f>実績データ!F274</f>
        <v>127</v>
      </c>
      <c r="E274" s="17">
        <f>実績データ!G274</f>
        <v>166593</v>
      </c>
      <c r="F274" s="18">
        <f>実績データ!H274</f>
        <v>0.48964912370547969</v>
      </c>
      <c r="G274" s="8">
        <f>実績データ!I274</f>
        <v>78</v>
      </c>
      <c r="H274" s="8" t="str">
        <f t="shared" si="13"/>
        <v>2025-12</v>
      </c>
      <c r="I274" s="8" t="str">
        <f t="shared" si="14"/>
        <v>月</v>
      </c>
    </row>
    <row r="275" spans="1:9" x14ac:dyDescent="0.15">
      <c r="A275" s="16">
        <f>実績データ!A275</f>
        <v>46021</v>
      </c>
      <c r="B275" s="8" t="str">
        <f>実績データ!C275</f>
        <v>D駐車場（横浜元町）</v>
      </c>
      <c r="C275" s="8" t="str">
        <f t="shared" si="12"/>
        <v>D駐車場（横浜元町）</v>
      </c>
      <c r="D275" s="8">
        <f>実績データ!F275</f>
        <v>91</v>
      </c>
      <c r="E275" s="17">
        <f>実績データ!G275</f>
        <v>111219</v>
      </c>
      <c r="F275" s="18">
        <f>実績データ!H275</f>
        <v>0.33849138324497469</v>
      </c>
      <c r="G275" s="8">
        <f>実績データ!I275</f>
        <v>73</v>
      </c>
      <c r="H275" s="8" t="str">
        <f t="shared" si="13"/>
        <v>2025-12</v>
      </c>
      <c r="I275" s="8" t="str">
        <f t="shared" si="14"/>
        <v>火</v>
      </c>
    </row>
    <row r="276" spans="1:9" x14ac:dyDescent="0.15">
      <c r="A276" s="16">
        <f>実績データ!A276</f>
        <v>46022</v>
      </c>
      <c r="B276" s="8" t="str">
        <f>実績データ!C276</f>
        <v xml:space="preserve"> A駐車場（新宿駅前）</v>
      </c>
      <c r="C276" s="8" t="str">
        <f t="shared" si="12"/>
        <v>A駐車場（新宿駅前）</v>
      </c>
      <c r="D276" s="8">
        <f>実績データ!F276</f>
        <v>178</v>
      </c>
      <c r="E276" s="17">
        <f>実績データ!G276</f>
        <v>213163</v>
      </c>
      <c r="F276" s="18">
        <f>実績データ!H276</f>
        <v>0.68918905711408052</v>
      </c>
      <c r="G276" s="8">
        <f>実績データ!I276</f>
        <v>69</v>
      </c>
      <c r="H276" s="8" t="str">
        <f t="shared" si="13"/>
        <v>2025-12</v>
      </c>
      <c r="I276" s="8" t="str">
        <f t="shared" si="14"/>
        <v>水</v>
      </c>
    </row>
    <row r="277" spans="1:9" x14ac:dyDescent="0.15">
      <c r="A277" s="16">
        <f>実績データ!A277</f>
        <v>46023</v>
      </c>
      <c r="B277" s="8" t="str">
        <f>実績データ!C277</f>
        <v>B駐車場 (渋谷南)</v>
      </c>
      <c r="C277" s="8" t="str">
        <f t="shared" si="12"/>
        <v>B駐車場（渋谷南）</v>
      </c>
      <c r="D277" s="8">
        <f>実績データ!F277</f>
        <v>179</v>
      </c>
      <c r="E277" s="17">
        <f>実績データ!G277</f>
        <v>224804</v>
      </c>
      <c r="F277" s="18">
        <f>実績データ!H277</f>
        <v>0.69600343224045402</v>
      </c>
      <c r="G277" s="8">
        <f>実績データ!I277</f>
        <v>86</v>
      </c>
      <c r="H277" s="8" t="str">
        <f t="shared" si="13"/>
        <v>2026-01</v>
      </c>
      <c r="I277" s="8" t="str">
        <f t="shared" si="14"/>
        <v>木</v>
      </c>
    </row>
    <row r="278" spans="1:9" x14ac:dyDescent="0.15">
      <c r="A278" s="16">
        <f>実績データ!A278</f>
        <v>46024</v>
      </c>
      <c r="B278" s="8" t="str">
        <f>実績データ!C278</f>
        <v>D駐車場 (横浜元町)</v>
      </c>
      <c r="C278" s="8" t="str">
        <f t="shared" si="12"/>
        <v>D駐車場（横浜元町）</v>
      </c>
      <c r="D278" s="8">
        <f>実績データ!F278</f>
        <v>142</v>
      </c>
      <c r="E278" s="17">
        <f>実績データ!G278</f>
        <v>167599</v>
      </c>
      <c r="F278" s="18">
        <f>実績データ!H278</f>
        <v>0.54069730527314896</v>
      </c>
      <c r="G278" s="8">
        <f>実績データ!I278</f>
        <v>70</v>
      </c>
      <c r="H278" s="8" t="str">
        <f t="shared" si="13"/>
        <v>2026-01</v>
      </c>
      <c r="I278" s="8" t="str">
        <f t="shared" si="14"/>
        <v>金</v>
      </c>
    </row>
    <row r="279" spans="1:9" x14ac:dyDescent="0.15">
      <c r="A279" s="16">
        <f>実績データ!A279</f>
        <v>46025</v>
      </c>
      <c r="B279" s="8" t="str">
        <f>実績データ!C279</f>
        <v>A駐車場（新宿駅前）</v>
      </c>
      <c r="C279" s="8" t="str">
        <f t="shared" si="12"/>
        <v>A駐車場（新宿駅前）</v>
      </c>
      <c r="D279" s="8">
        <f>実績データ!F279</f>
        <v>162</v>
      </c>
      <c r="E279" s="17">
        <f>実績データ!G279</f>
        <v>197381</v>
      </c>
      <c r="F279" s="18">
        <f>実績データ!H279</f>
        <v>0.5478925187500765</v>
      </c>
      <c r="G279" s="8">
        <f>実績データ!I279</f>
        <v>80</v>
      </c>
      <c r="H279" s="8" t="str">
        <f t="shared" si="13"/>
        <v>2026-01</v>
      </c>
      <c r="I279" s="8" t="str">
        <f t="shared" si="14"/>
        <v>土</v>
      </c>
    </row>
    <row r="280" spans="1:9" x14ac:dyDescent="0.15">
      <c r="A280" s="16">
        <f>実績データ!A280</f>
        <v>46026</v>
      </c>
      <c r="B280" s="8" t="str">
        <f>実績データ!C280</f>
        <v>B駐車場（渋谷南）</v>
      </c>
      <c r="C280" s="8" t="str">
        <f t="shared" si="12"/>
        <v>B駐車場（渋谷南）</v>
      </c>
      <c r="D280" s="8">
        <f>実績データ!F280</f>
        <v>186</v>
      </c>
      <c r="E280" s="17">
        <f>実績データ!G280</f>
        <v>247301</v>
      </c>
      <c r="F280" s="18">
        <f>実績データ!H280</f>
        <v>0.71488711241419445</v>
      </c>
      <c r="G280" s="8">
        <f>実績データ!I280</f>
        <v>85</v>
      </c>
      <c r="H280" s="8" t="str">
        <f t="shared" si="13"/>
        <v>2026-01</v>
      </c>
      <c r="I280" s="8" t="str">
        <f t="shared" si="14"/>
        <v>日</v>
      </c>
    </row>
    <row r="281" spans="1:9" x14ac:dyDescent="0.15">
      <c r="A281" s="16">
        <f>実績データ!A281</f>
        <v>46027</v>
      </c>
      <c r="B281" s="8" t="str">
        <f>実績データ!C281</f>
        <v>D駐車場 (横浜元町)</v>
      </c>
      <c r="C281" s="8" t="str">
        <f t="shared" si="12"/>
        <v>D駐車場（横浜元町）</v>
      </c>
      <c r="D281" s="8">
        <f>実績データ!F281</f>
        <v>108</v>
      </c>
      <c r="E281" s="17">
        <f>実績データ!G281</f>
        <v>128642</v>
      </c>
      <c r="F281" s="18">
        <f>実績データ!H281</f>
        <v>0.40576345408550102</v>
      </c>
      <c r="G281" s="8">
        <f>実績データ!I281</f>
        <v>63</v>
      </c>
      <c r="H281" s="8" t="str">
        <f t="shared" si="13"/>
        <v>2026-01</v>
      </c>
      <c r="I281" s="8" t="str">
        <f t="shared" si="14"/>
        <v>月</v>
      </c>
    </row>
    <row r="282" spans="1:9" x14ac:dyDescent="0.15">
      <c r="A282" s="16">
        <f>実績データ!A282</f>
        <v>46028</v>
      </c>
      <c r="B282" s="8" t="str">
        <f>実績データ!C282</f>
        <v>A駐車場（新宿駅前）</v>
      </c>
      <c r="C282" s="8" t="str">
        <f t="shared" si="12"/>
        <v>A駐車場（新宿駅前）</v>
      </c>
      <c r="D282" s="8">
        <f>実績データ!F282</f>
        <v>162</v>
      </c>
      <c r="E282" s="17">
        <f>実績データ!G282</f>
        <v>204186</v>
      </c>
      <c r="F282" s="18">
        <f>実績データ!H282</f>
        <v>0.57383216159302097</v>
      </c>
      <c r="G282" s="8">
        <f>実績データ!I282</f>
        <v>73</v>
      </c>
      <c r="H282" s="8" t="str">
        <f t="shared" si="13"/>
        <v>2026-01</v>
      </c>
      <c r="I282" s="8" t="str">
        <f t="shared" si="14"/>
        <v>火</v>
      </c>
    </row>
    <row r="283" spans="1:9" x14ac:dyDescent="0.15">
      <c r="A283" s="16">
        <f>実績データ!A283</f>
        <v>46029</v>
      </c>
      <c r="B283" s="8" t="str">
        <f>実績データ!C283</f>
        <v>D駐車場（横浜元町）</v>
      </c>
      <c r="C283" s="8" t="str">
        <f t="shared" si="12"/>
        <v>D駐車場（横浜元町）</v>
      </c>
      <c r="D283" s="8">
        <f>実績データ!F283</f>
        <v>111</v>
      </c>
      <c r="E283" s="17">
        <f>実績データ!G283</f>
        <v>121367</v>
      </c>
      <c r="F283" s="18">
        <f>実績データ!H283</f>
        <v>0.52044690182083331</v>
      </c>
      <c r="G283" s="8">
        <f>実績データ!I283</f>
        <v>66</v>
      </c>
      <c r="H283" s="8" t="str">
        <f t="shared" si="13"/>
        <v>2026-01</v>
      </c>
      <c r="I283" s="8" t="str">
        <f t="shared" si="14"/>
        <v>水</v>
      </c>
    </row>
    <row r="284" spans="1:9" x14ac:dyDescent="0.15">
      <c r="A284" s="16">
        <f>実績データ!A284</f>
        <v>46030</v>
      </c>
      <c r="B284" s="8" t="str">
        <f>実績データ!C284</f>
        <v>D駐車場（横浜元町）</v>
      </c>
      <c r="C284" s="8" t="str">
        <f t="shared" si="12"/>
        <v>D駐車場（横浜元町）</v>
      </c>
      <c r="D284" s="8">
        <f>実績データ!F284</f>
        <v>116</v>
      </c>
      <c r="E284" s="17">
        <f>実績データ!G284</f>
        <v>162735</v>
      </c>
      <c r="F284" s="18">
        <f>実績データ!H284</f>
        <v>0.43478457747981719</v>
      </c>
      <c r="G284" s="8">
        <f>実績データ!I284</f>
        <v>64</v>
      </c>
      <c r="H284" s="8" t="str">
        <f t="shared" si="13"/>
        <v>2026-01</v>
      </c>
      <c r="I284" s="8" t="str">
        <f t="shared" si="14"/>
        <v>木</v>
      </c>
    </row>
    <row r="285" spans="1:9" x14ac:dyDescent="0.15">
      <c r="A285" s="16">
        <f>実績データ!A285</f>
        <v>46031</v>
      </c>
      <c r="B285" s="8" t="str">
        <f>実績データ!C285</f>
        <v>A駐車場（新宿駅前）</v>
      </c>
      <c r="C285" s="8" t="str">
        <f t="shared" si="12"/>
        <v>A駐車場（新宿駅前）</v>
      </c>
      <c r="D285" s="8">
        <f>実績データ!F285</f>
        <v>201</v>
      </c>
      <c r="E285" s="17">
        <f>実績データ!G285</f>
        <v>241393</v>
      </c>
      <c r="F285" s="18">
        <f>実績データ!H285</f>
        <v>0.77385994280937254</v>
      </c>
      <c r="G285" s="8">
        <f>実績データ!I285</f>
        <v>59</v>
      </c>
      <c r="H285" s="8" t="str">
        <f t="shared" si="13"/>
        <v>2026-01</v>
      </c>
      <c r="I285" s="8" t="str">
        <f t="shared" si="14"/>
        <v>金</v>
      </c>
    </row>
    <row r="286" spans="1:9" x14ac:dyDescent="0.15">
      <c r="A286" s="16">
        <f>実績データ!A286</f>
        <v>46032</v>
      </c>
      <c r="B286" s="8" t="str">
        <f>実績データ!C286</f>
        <v xml:space="preserve">B駐車場（渋谷南） </v>
      </c>
      <c r="C286" s="8" t="str">
        <f t="shared" si="12"/>
        <v>B駐車場（渋谷南）</v>
      </c>
      <c r="D286" s="8">
        <f>実績データ!F286</f>
        <v>165</v>
      </c>
      <c r="E286" s="17">
        <f>実績データ!G286</f>
        <v>198529</v>
      </c>
      <c r="F286" s="18">
        <f>実績データ!H286</f>
        <v>0.66539616684883129</v>
      </c>
      <c r="G286" s="8">
        <f>実績データ!I286</f>
        <v>68</v>
      </c>
      <c r="H286" s="8" t="str">
        <f t="shared" si="13"/>
        <v>2026-01</v>
      </c>
      <c r="I286" s="8" t="str">
        <f t="shared" si="14"/>
        <v>土</v>
      </c>
    </row>
    <row r="287" spans="1:9" x14ac:dyDescent="0.15">
      <c r="A287" s="16">
        <f>実績データ!A287</f>
        <v>46033</v>
      </c>
      <c r="B287" s="8" t="str">
        <f>実績データ!C287</f>
        <v xml:space="preserve"> A駐車場（新宿駅前）</v>
      </c>
      <c r="C287" s="8" t="str">
        <f t="shared" si="12"/>
        <v>A駐車場（新宿駅前）</v>
      </c>
      <c r="D287" s="8">
        <f>実績データ!F287</f>
        <v>144</v>
      </c>
      <c r="E287" s="17">
        <f>実績データ!G287</f>
        <v>175518</v>
      </c>
      <c r="F287" s="18">
        <f>実績データ!H287</f>
        <v>0.5892521576970895</v>
      </c>
      <c r="G287" s="8">
        <f>実績データ!I287</f>
        <v>74</v>
      </c>
      <c r="H287" s="8" t="str">
        <f t="shared" si="13"/>
        <v>2026-01</v>
      </c>
      <c r="I287" s="8" t="str">
        <f t="shared" si="14"/>
        <v>日</v>
      </c>
    </row>
    <row r="288" spans="1:9" x14ac:dyDescent="0.15">
      <c r="A288" s="16">
        <f>実績データ!A288</f>
        <v>46034</v>
      </c>
      <c r="B288" s="8" t="str">
        <f>実績データ!C288</f>
        <v>C駐車場 (池袋西口)</v>
      </c>
      <c r="C288" s="8" t="str">
        <f t="shared" si="12"/>
        <v>C駐車場（池袋西口）</v>
      </c>
      <c r="D288" s="8">
        <f>実績データ!F288</f>
        <v>142</v>
      </c>
      <c r="E288" s="17">
        <f>実績データ!G288</f>
        <v>170754</v>
      </c>
      <c r="F288" s="18">
        <f>実績データ!H288</f>
        <v>0.58676186420683885</v>
      </c>
      <c r="G288" s="8">
        <f>実績データ!I288</f>
        <v>67</v>
      </c>
      <c r="H288" s="8" t="str">
        <f t="shared" si="13"/>
        <v>2026-01</v>
      </c>
      <c r="I288" s="8" t="str">
        <f t="shared" si="14"/>
        <v>月</v>
      </c>
    </row>
    <row r="289" spans="1:9" x14ac:dyDescent="0.15">
      <c r="A289" s="16">
        <f>実績データ!A289</f>
        <v>46035</v>
      </c>
      <c r="B289" s="8" t="str">
        <f>実績データ!C289</f>
        <v>D駐車場（横浜元町）</v>
      </c>
      <c r="C289" s="8" t="str">
        <f t="shared" si="12"/>
        <v>D駐車場（横浜元町）</v>
      </c>
      <c r="D289" s="8">
        <f>実績データ!F289</f>
        <v>132</v>
      </c>
      <c r="E289" s="17">
        <f>実績データ!G289</f>
        <v>169092</v>
      </c>
      <c r="F289" s="18">
        <f>実績データ!H289</f>
        <v>0.46379040214955608</v>
      </c>
      <c r="G289" s="8">
        <f>実績データ!I289</f>
        <v>79</v>
      </c>
      <c r="H289" s="8" t="str">
        <f t="shared" si="13"/>
        <v>2026-01</v>
      </c>
      <c r="I289" s="8" t="str">
        <f t="shared" si="14"/>
        <v>火</v>
      </c>
    </row>
    <row r="290" spans="1:9" x14ac:dyDescent="0.15">
      <c r="A290" s="16">
        <f>実績データ!A290</f>
        <v>46036</v>
      </c>
      <c r="B290" s="8" t="str">
        <f>実績データ!C290</f>
        <v xml:space="preserve"> A駐車場（新宿駅前）</v>
      </c>
      <c r="C290" s="8" t="str">
        <f t="shared" si="12"/>
        <v>A駐車場（新宿駅前）</v>
      </c>
      <c r="D290" s="8">
        <f>実績データ!F290</f>
        <v>178</v>
      </c>
      <c r="E290" s="17">
        <f>実績データ!G290</f>
        <v>228818</v>
      </c>
      <c r="F290" s="18">
        <f>実績データ!H290</f>
        <v>0.68889732376551649</v>
      </c>
      <c r="G290" s="8">
        <f>実績データ!I290</f>
        <v>67</v>
      </c>
      <c r="H290" s="8" t="str">
        <f t="shared" si="13"/>
        <v>2026-01</v>
      </c>
      <c r="I290" s="8" t="str">
        <f t="shared" si="14"/>
        <v>水</v>
      </c>
    </row>
    <row r="291" spans="1:9" x14ac:dyDescent="0.15">
      <c r="A291" s="16">
        <f>実績データ!A291</f>
        <v>46037</v>
      </c>
      <c r="B291" s="8" t="str">
        <f>実績データ!C291</f>
        <v>A駐車場（新宿駅前）</v>
      </c>
      <c r="C291" s="8" t="str">
        <f t="shared" si="12"/>
        <v>A駐車場（新宿駅前）</v>
      </c>
      <c r="D291" s="8">
        <f>実績データ!F291</f>
        <v>216</v>
      </c>
      <c r="E291" s="17">
        <f>実績データ!G291</f>
        <v>279139</v>
      </c>
      <c r="F291" s="18">
        <f>実績データ!H291</f>
        <v>0.77505815485409935</v>
      </c>
      <c r="G291" s="8">
        <f>実績データ!I291</f>
        <v>76</v>
      </c>
      <c r="H291" s="8" t="str">
        <f t="shared" si="13"/>
        <v>2026-01</v>
      </c>
      <c r="I291" s="8" t="str">
        <f t="shared" si="14"/>
        <v>木</v>
      </c>
    </row>
    <row r="292" spans="1:9" x14ac:dyDescent="0.15">
      <c r="A292" s="16">
        <f>実績データ!A292</f>
        <v>46038</v>
      </c>
      <c r="B292" s="8" t="str">
        <f>実績データ!C292</f>
        <v xml:space="preserve">B駐車場（渋谷南） </v>
      </c>
      <c r="C292" s="8" t="str">
        <f t="shared" si="12"/>
        <v>B駐車場（渋谷南）</v>
      </c>
      <c r="D292" s="8">
        <f>実績データ!F292</f>
        <v>154</v>
      </c>
      <c r="E292" s="17">
        <f>実績データ!G292</f>
        <v>197394</v>
      </c>
      <c r="F292" s="18">
        <f>実績データ!H292</f>
        <v>0.57601398281260452</v>
      </c>
      <c r="G292" s="8">
        <f>実績データ!I292</f>
        <v>77</v>
      </c>
      <c r="H292" s="8" t="str">
        <f t="shared" si="13"/>
        <v>2026-01</v>
      </c>
      <c r="I292" s="8" t="str">
        <f t="shared" si="14"/>
        <v>金</v>
      </c>
    </row>
    <row r="293" spans="1:9" x14ac:dyDescent="0.15">
      <c r="A293" s="16">
        <f>実績データ!A293</f>
        <v>46039</v>
      </c>
      <c r="B293" s="8" t="str">
        <f>実績データ!C293</f>
        <v>C駐車場 (池袋西口)</v>
      </c>
      <c r="C293" s="8" t="str">
        <f t="shared" si="12"/>
        <v>C駐車場（池袋西口）</v>
      </c>
      <c r="D293" s="8">
        <f>実績データ!F293</f>
        <v>141</v>
      </c>
      <c r="E293" s="17">
        <f>実績データ!G293</f>
        <v>166361</v>
      </c>
      <c r="F293" s="18">
        <f>実績データ!H293</f>
        <v>0.49018110523252378</v>
      </c>
      <c r="G293" s="8">
        <f>実績データ!I293</f>
        <v>75</v>
      </c>
      <c r="H293" s="8" t="str">
        <f t="shared" si="13"/>
        <v>2026-01</v>
      </c>
      <c r="I293" s="8" t="str">
        <f t="shared" si="14"/>
        <v>土</v>
      </c>
    </row>
    <row r="294" spans="1:9" x14ac:dyDescent="0.15">
      <c r="A294" s="16">
        <f>実績データ!A294</f>
        <v>46040</v>
      </c>
      <c r="B294" s="8" t="str">
        <f>実績データ!C294</f>
        <v xml:space="preserve">D駐車場（横浜元町） </v>
      </c>
      <c r="C294" s="8" t="str">
        <f t="shared" si="12"/>
        <v>D駐車場（横浜元町）</v>
      </c>
      <c r="D294" s="8">
        <f>実績データ!F294</f>
        <v>141</v>
      </c>
      <c r="E294" s="17">
        <f>実績データ!G294</f>
        <v>173278</v>
      </c>
      <c r="F294" s="18">
        <f>実績データ!H294</f>
        <v>0.54003911204978083</v>
      </c>
      <c r="G294" s="8">
        <f>実績データ!I294</f>
        <v>74</v>
      </c>
      <c r="H294" s="8" t="str">
        <f t="shared" si="13"/>
        <v>2026-01</v>
      </c>
      <c r="I294" s="8" t="str">
        <f t="shared" si="14"/>
        <v>日</v>
      </c>
    </row>
    <row r="295" spans="1:9" x14ac:dyDescent="0.15">
      <c r="A295" s="16">
        <f>実績データ!A295</f>
        <v>46041</v>
      </c>
      <c r="B295" s="8" t="str">
        <f>実績データ!C295</f>
        <v>D駐車場 (横浜元町)</v>
      </c>
      <c r="C295" s="8" t="str">
        <f t="shared" si="12"/>
        <v>D駐車場（横浜元町）</v>
      </c>
      <c r="D295" s="8">
        <f>実績データ!F295</f>
        <v>114</v>
      </c>
      <c r="E295" s="17">
        <f>実績データ!G295</f>
        <v>153330</v>
      </c>
      <c r="F295" s="18">
        <f>実績データ!H295</f>
        <v>0.38440201053324968</v>
      </c>
      <c r="G295" s="8">
        <f>実績データ!I295</f>
        <v>84</v>
      </c>
      <c r="H295" s="8" t="str">
        <f t="shared" si="13"/>
        <v>2026-01</v>
      </c>
      <c r="I295" s="8" t="str">
        <f t="shared" si="14"/>
        <v>月</v>
      </c>
    </row>
    <row r="296" spans="1:9" x14ac:dyDescent="0.15">
      <c r="A296" s="16">
        <f>実績データ!A296</f>
        <v>46042</v>
      </c>
      <c r="B296" s="8" t="str">
        <f>実績データ!C296</f>
        <v xml:space="preserve">D駐車場（横浜元町） </v>
      </c>
      <c r="C296" s="8" t="str">
        <f t="shared" si="12"/>
        <v>D駐車場（横浜元町）</v>
      </c>
      <c r="D296" s="8">
        <f>実績データ!F296</f>
        <v>136</v>
      </c>
      <c r="E296" s="17">
        <f>実績データ!G296</f>
        <v>165489</v>
      </c>
      <c r="F296" s="18">
        <f>実績データ!H296</f>
        <v>0.55291783646248072</v>
      </c>
      <c r="G296" s="8">
        <f>実績データ!I296</f>
        <v>67</v>
      </c>
      <c r="H296" s="8" t="str">
        <f t="shared" si="13"/>
        <v>2026-01</v>
      </c>
      <c r="I296" s="8" t="str">
        <f t="shared" si="14"/>
        <v>火</v>
      </c>
    </row>
    <row r="297" spans="1:9" x14ac:dyDescent="0.15">
      <c r="A297" s="16">
        <f>実績データ!A297</f>
        <v>46043</v>
      </c>
      <c r="B297" s="8" t="str">
        <f>実績データ!C297</f>
        <v xml:space="preserve"> C駐車場（池袋西口）</v>
      </c>
      <c r="C297" s="8" t="str">
        <f t="shared" si="12"/>
        <v>C駐車場（池袋西口）</v>
      </c>
      <c r="D297" s="8">
        <f>実績データ!F297</f>
        <v>99</v>
      </c>
      <c r="E297" s="17">
        <f>実績データ!G297</f>
        <v>127248</v>
      </c>
      <c r="F297" s="18">
        <f>実績データ!H297</f>
        <v>0.35338042694828442</v>
      </c>
      <c r="G297" s="8">
        <f>実績データ!I297</f>
        <v>59</v>
      </c>
      <c r="H297" s="8" t="str">
        <f t="shared" si="13"/>
        <v>2026-01</v>
      </c>
      <c r="I297" s="8" t="str">
        <f t="shared" si="14"/>
        <v>水</v>
      </c>
    </row>
    <row r="298" spans="1:9" x14ac:dyDescent="0.15">
      <c r="A298" s="16">
        <f>実績データ!A298</f>
        <v>46044</v>
      </c>
      <c r="B298" s="8" t="str">
        <f>実績データ!C298</f>
        <v>D駐車場 (横浜元町)</v>
      </c>
      <c r="C298" s="8" t="str">
        <f t="shared" si="12"/>
        <v>D駐車場（横浜元町）</v>
      </c>
      <c r="D298" s="8">
        <f>実績データ!F298</f>
        <v>107</v>
      </c>
      <c r="E298" s="17">
        <f>実績データ!G298</f>
        <v>153718</v>
      </c>
      <c r="F298" s="18">
        <f>実績データ!H298</f>
        <v>0.44003278407519242</v>
      </c>
      <c r="G298" s="8">
        <f>実績データ!I298</f>
        <v>68</v>
      </c>
      <c r="H298" s="8" t="str">
        <f t="shared" si="13"/>
        <v>2026-01</v>
      </c>
      <c r="I298" s="8" t="str">
        <f t="shared" si="14"/>
        <v>木</v>
      </c>
    </row>
    <row r="299" spans="1:9" x14ac:dyDescent="0.15">
      <c r="A299" s="16">
        <f>実績データ!A299</f>
        <v>46045</v>
      </c>
      <c r="B299" s="8" t="str">
        <f>実績データ!C299</f>
        <v>C駐車場 (池袋西口)</v>
      </c>
      <c r="C299" s="8" t="str">
        <f t="shared" si="12"/>
        <v>C駐車場（池袋西口）</v>
      </c>
      <c r="D299" s="8">
        <f>実績データ!F299</f>
        <v>107</v>
      </c>
      <c r="E299" s="17">
        <f>実績データ!G299</f>
        <v>142851</v>
      </c>
      <c r="F299" s="18">
        <f>実績データ!H299</f>
        <v>0.3980767577406249</v>
      </c>
      <c r="G299" s="8">
        <f>実績データ!I299</f>
        <v>70</v>
      </c>
      <c r="H299" s="8" t="str">
        <f t="shared" si="13"/>
        <v>2026-01</v>
      </c>
      <c r="I299" s="8" t="str">
        <f t="shared" si="14"/>
        <v>金</v>
      </c>
    </row>
    <row r="300" spans="1:9" x14ac:dyDescent="0.15">
      <c r="A300" s="16">
        <f>実績データ!A300</f>
        <v>46046</v>
      </c>
      <c r="B300" s="8" t="str">
        <f>実績データ!C300</f>
        <v>A駐車場 (新宿駅前)</v>
      </c>
      <c r="C300" s="8" t="str">
        <f t="shared" si="12"/>
        <v>A駐車場（新宿駅前）</v>
      </c>
      <c r="D300" s="8">
        <f>実績データ!F300</f>
        <v>217</v>
      </c>
      <c r="E300" s="17">
        <f>実績データ!G300</f>
        <v>260853</v>
      </c>
      <c r="F300" s="18">
        <f>実績データ!H300</f>
        <v>0.82489132818064193</v>
      </c>
      <c r="G300" s="8">
        <f>実績データ!I300</f>
        <v>63</v>
      </c>
      <c r="H300" s="8" t="str">
        <f t="shared" si="13"/>
        <v>2026-01</v>
      </c>
      <c r="I300" s="8" t="str">
        <f t="shared" si="14"/>
        <v>土</v>
      </c>
    </row>
    <row r="301" spans="1:9" x14ac:dyDescent="0.15">
      <c r="A301" s="16">
        <f>実績データ!A301</f>
        <v>46047</v>
      </c>
      <c r="B301" s="8" t="str">
        <f>実績データ!C301</f>
        <v>D駐車場 (横浜元町)</v>
      </c>
      <c r="C301" s="8" t="str">
        <f t="shared" si="12"/>
        <v>D駐車場（横浜元町）</v>
      </c>
      <c r="D301" s="8">
        <f>実績データ!F301</f>
        <v>131</v>
      </c>
      <c r="E301" s="17">
        <f>実績データ!G301</f>
        <v>147454</v>
      </c>
      <c r="F301" s="18">
        <f>実績データ!H301</f>
        <v>0.49514046858197502</v>
      </c>
      <c r="G301" s="8">
        <f>実績データ!I301</f>
        <v>75</v>
      </c>
      <c r="H301" s="8" t="str">
        <f t="shared" si="13"/>
        <v>2026-01</v>
      </c>
      <c r="I301" s="8" t="str">
        <f t="shared" si="14"/>
        <v>日</v>
      </c>
    </row>
    <row r="302" spans="1:9" x14ac:dyDescent="0.15">
      <c r="A302" s="16">
        <f>実績データ!A302</f>
        <v>46048</v>
      </c>
      <c r="B302" s="8" t="str">
        <f>実績データ!C302</f>
        <v>D駐車場 (横浜元町)</v>
      </c>
      <c r="C302" s="8" t="str">
        <f t="shared" si="12"/>
        <v>D駐車場（横浜元町）</v>
      </c>
      <c r="D302" s="8">
        <f>実績データ!F302</f>
        <v>175</v>
      </c>
      <c r="E302" s="17">
        <f>実績データ!G302</f>
        <v>221200</v>
      </c>
      <c r="F302" s="18">
        <f>実績データ!H302</f>
        <v>0.63795466911279908</v>
      </c>
      <c r="G302" s="8">
        <f>実績データ!I302</f>
        <v>71</v>
      </c>
      <c r="H302" s="8" t="str">
        <f t="shared" si="13"/>
        <v>2026-01</v>
      </c>
      <c r="I302" s="8" t="str">
        <f t="shared" si="14"/>
        <v>月</v>
      </c>
    </row>
    <row r="303" spans="1:9" x14ac:dyDescent="0.15">
      <c r="A303" s="16">
        <f>実績データ!A303</f>
        <v>46049</v>
      </c>
      <c r="B303" s="8" t="str">
        <f>実績データ!C303</f>
        <v>C駐車場（池袋西口）</v>
      </c>
      <c r="C303" s="8" t="str">
        <f t="shared" si="12"/>
        <v>C駐車場（池袋西口）</v>
      </c>
      <c r="D303" s="8">
        <f>実績データ!F303</f>
        <v>121</v>
      </c>
      <c r="E303" s="17">
        <f>実績データ!G303</f>
        <v>123045</v>
      </c>
      <c r="F303" s="18">
        <f>実績データ!H303</f>
        <v>0.4008785953043062</v>
      </c>
      <c r="G303" s="8">
        <f>実績データ!I303</f>
        <v>58</v>
      </c>
      <c r="H303" s="8" t="str">
        <f t="shared" si="13"/>
        <v>2026-01</v>
      </c>
      <c r="I303" s="8" t="str">
        <f t="shared" si="14"/>
        <v>火</v>
      </c>
    </row>
    <row r="304" spans="1:9" x14ac:dyDescent="0.15">
      <c r="A304" s="16">
        <f>実績データ!A304</f>
        <v>46050</v>
      </c>
      <c r="B304" s="8" t="str">
        <f>実績データ!C304</f>
        <v xml:space="preserve">B駐車場（渋谷南） </v>
      </c>
      <c r="C304" s="8" t="str">
        <f t="shared" si="12"/>
        <v>B駐車場（渋谷南）</v>
      </c>
      <c r="D304" s="8">
        <f>実績データ!F304</f>
        <v>176</v>
      </c>
      <c r="E304" s="17">
        <f>実績データ!G304</f>
        <v>215358</v>
      </c>
      <c r="F304" s="18">
        <f>実績データ!H304</f>
        <v>0.72929702630877458</v>
      </c>
      <c r="G304" s="8">
        <f>実績データ!I304</f>
        <v>76</v>
      </c>
      <c r="H304" s="8" t="str">
        <f t="shared" si="13"/>
        <v>2026-01</v>
      </c>
      <c r="I304" s="8" t="str">
        <f t="shared" si="14"/>
        <v>水</v>
      </c>
    </row>
    <row r="305" spans="1:9" x14ac:dyDescent="0.15">
      <c r="A305" s="16">
        <f>実績データ!A305</f>
        <v>46051</v>
      </c>
      <c r="B305" s="8" t="str">
        <f>実績データ!C305</f>
        <v xml:space="preserve"> A駐車場（新宿駅前）</v>
      </c>
      <c r="C305" s="8" t="str">
        <f t="shared" si="12"/>
        <v>A駐車場（新宿駅前）</v>
      </c>
      <c r="D305" s="8">
        <f>実績データ!F305</f>
        <v>198</v>
      </c>
      <c r="E305" s="17">
        <f>実績データ!G305</f>
        <v>242174</v>
      </c>
      <c r="F305" s="18">
        <f>実績データ!H305</f>
        <v>0.71930051996103539</v>
      </c>
      <c r="G305" s="8">
        <f>実績データ!I305</f>
        <v>71</v>
      </c>
      <c r="H305" s="8" t="str">
        <f t="shared" si="13"/>
        <v>2026-01</v>
      </c>
      <c r="I305" s="8" t="str">
        <f t="shared" si="14"/>
        <v>木</v>
      </c>
    </row>
    <row r="306" spans="1:9" x14ac:dyDescent="0.15">
      <c r="A306" s="16">
        <f>実績データ!A306</f>
        <v>46052</v>
      </c>
      <c r="B306" s="8" t="str">
        <f>実績データ!C306</f>
        <v xml:space="preserve">D駐車場（横浜元町） </v>
      </c>
      <c r="C306" s="8" t="str">
        <f t="shared" si="12"/>
        <v>D駐車場（横浜元町）</v>
      </c>
      <c r="D306" s="8">
        <f>実績データ!F306</f>
        <v>100</v>
      </c>
      <c r="E306" s="17">
        <f>実績データ!G306</f>
        <v>121163</v>
      </c>
      <c r="F306" s="18">
        <f>実績データ!H306</f>
        <v>0.37730109653738891</v>
      </c>
      <c r="G306" s="8">
        <f>実績データ!I306</f>
        <v>65</v>
      </c>
      <c r="H306" s="8" t="str">
        <f t="shared" si="13"/>
        <v>2026-01</v>
      </c>
      <c r="I306" s="8" t="str">
        <f t="shared" si="14"/>
        <v>金</v>
      </c>
    </row>
    <row r="307" spans="1:9" x14ac:dyDescent="0.15">
      <c r="A307" s="16">
        <f>実績データ!A307</f>
        <v>46053</v>
      </c>
      <c r="B307" s="8" t="str">
        <f>実績データ!C307</f>
        <v xml:space="preserve"> C駐車場（池袋西口）</v>
      </c>
      <c r="C307" s="8" t="str">
        <f t="shared" si="12"/>
        <v>C駐車場（池袋西口）</v>
      </c>
      <c r="D307" s="8">
        <f>実績データ!F307</f>
        <v>103</v>
      </c>
      <c r="E307" s="17">
        <f>実績データ!G307</f>
        <v>138012</v>
      </c>
      <c r="F307" s="18">
        <f>実績データ!H307</f>
        <v>0.45818475528062319</v>
      </c>
      <c r="G307" s="8">
        <f>実績データ!I307</f>
        <v>80</v>
      </c>
      <c r="H307" s="8" t="str">
        <f t="shared" si="13"/>
        <v>2026-01</v>
      </c>
      <c r="I307" s="8" t="str">
        <f t="shared" si="14"/>
        <v>土</v>
      </c>
    </row>
    <row r="308" spans="1:9" x14ac:dyDescent="0.15">
      <c r="A308" s="16">
        <f>実績データ!A308</f>
        <v>46054</v>
      </c>
      <c r="B308" s="8" t="str">
        <f>実績データ!C308</f>
        <v>C駐車場 (池袋西口)</v>
      </c>
      <c r="C308" s="8" t="str">
        <f t="shared" si="12"/>
        <v>C駐車場（池袋西口）</v>
      </c>
      <c r="D308" s="8">
        <f>実績データ!F308</f>
        <v>131</v>
      </c>
      <c r="E308" s="17">
        <f>実績データ!G308</f>
        <v>158152</v>
      </c>
      <c r="F308" s="18">
        <f>実績データ!H308</f>
        <v>0.46427413705063292</v>
      </c>
      <c r="G308" s="8">
        <f>実績データ!I308</f>
        <v>68</v>
      </c>
      <c r="H308" s="8" t="str">
        <f t="shared" si="13"/>
        <v>2026-02</v>
      </c>
      <c r="I308" s="8" t="str">
        <f t="shared" si="14"/>
        <v>日</v>
      </c>
    </row>
    <row r="309" spans="1:9" x14ac:dyDescent="0.15">
      <c r="A309" s="16">
        <f>実績データ!A309</f>
        <v>46055</v>
      </c>
      <c r="B309" s="8" t="str">
        <f>実績データ!C309</f>
        <v>C駐車場 (池袋西口)</v>
      </c>
      <c r="C309" s="8" t="str">
        <f t="shared" si="12"/>
        <v>C駐車場（池袋西口）</v>
      </c>
      <c r="D309" s="8">
        <f>実績データ!F309</f>
        <v>138</v>
      </c>
      <c r="E309" s="17">
        <f>実績データ!G309</f>
        <v>165706</v>
      </c>
      <c r="F309" s="18">
        <f>実績データ!H309</f>
        <v>0.52894422716387945</v>
      </c>
      <c r="G309" s="8">
        <f>実績データ!I309</f>
        <v>66</v>
      </c>
      <c r="H309" s="8" t="str">
        <f t="shared" si="13"/>
        <v>2026-02</v>
      </c>
      <c r="I309" s="8" t="str">
        <f t="shared" si="14"/>
        <v>月</v>
      </c>
    </row>
    <row r="310" spans="1:9" x14ac:dyDescent="0.15">
      <c r="A310" s="16">
        <f>実績データ!A310</f>
        <v>46056</v>
      </c>
      <c r="B310" s="8" t="str">
        <f>実績データ!C310</f>
        <v>B駐車場 (渋谷南)</v>
      </c>
      <c r="C310" s="8" t="str">
        <f t="shared" si="12"/>
        <v>B駐車場（渋谷南）</v>
      </c>
      <c r="D310" s="8">
        <f>実績データ!F310</f>
        <v>208</v>
      </c>
      <c r="E310" s="17">
        <f>実績データ!G310</f>
        <v>249519</v>
      </c>
      <c r="F310" s="18">
        <f>実績データ!H310</f>
        <v>0.75587550222528266</v>
      </c>
      <c r="G310" s="8">
        <f>実績データ!I310</f>
        <v>76</v>
      </c>
      <c r="H310" s="8" t="str">
        <f t="shared" si="13"/>
        <v>2026-02</v>
      </c>
      <c r="I310" s="8" t="str">
        <f t="shared" si="14"/>
        <v>火</v>
      </c>
    </row>
    <row r="311" spans="1:9" x14ac:dyDescent="0.15">
      <c r="A311" s="16">
        <f>実績データ!A311</f>
        <v>46057</v>
      </c>
      <c r="B311" s="8" t="str">
        <f>実績データ!C311</f>
        <v xml:space="preserve">D駐車場（横浜元町） </v>
      </c>
      <c r="C311" s="8" t="str">
        <f t="shared" si="12"/>
        <v>D駐車場（横浜元町）</v>
      </c>
      <c r="D311" s="8">
        <f>実績データ!F311</f>
        <v>130</v>
      </c>
      <c r="E311" s="17">
        <f>実績データ!G311</f>
        <v>164249</v>
      </c>
      <c r="F311" s="18">
        <f>実績データ!H311</f>
        <v>0.52004057165373974</v>
      </c>
      <c r="G311" s="8">
        <f>実績データ!I311</f>
        <v>80</v>
      </c>
      <c r="H311" s="8" t="str">
        <f t="shared" si="13"/>
        <v>2026-02</v>
      </c>
      <c r="I311" s="8" t="str">
        <f t="shared" si="14"/>
        <v>水</v>
      </c>
    </row>
    <row r="312" spans="1:9" x14ac:dyDescent="0.15">
      <c r="A312" s="16">
        <f>実績データ!A312</f>
        <v>46058</v>
      </c>
      <c r="B312" s="8" t="str">
        <f>実績データ!C312</f>
        <v>B駐車場 (渋谷南)</v>
      </c>
      <c r="C312" s="8" t="str">
        <f t="shared" si="12"/>
        <v>B駐車場（渋谷南）</v>
      </c>
      <c r="D312" s="8">
        <f>実績データ!F312</f>
        <v>163</v>
      </c>
      <c r="E312" s="17">
        <f>実績データ!G312</f>
        <v>206081</v>
      </c>
      <c r="F312" s="18">
        <f>実績データ!H312</f>
        <v>0.65125363399398417</v>
      </c>
      <c r="G312" s="8">
        <f>実績データ!I312</f>
        <v>78</v>
      </c>
      <c r="H312" s="8" t="str">
        <f t="shared" si="13"/>
        <v>2026-02</v>
      </c>
      <c r="I312" s="8" t="str">
        <f t="shared" si="14"/>
        <v>木</v>
      </c>
    </row>
    <row r="313" spans="1:9" x14ac:dyDescent="0.15">
      <c r="A313" s="16">
        <f>実績データ!A313</f>
        <v>46059</v>
      </c>
      <c r="B313" s="8" t="str">
        <f>実績データ!C313</f>
        <v xml:space="preserve"> A駐車場（新宿駅前）</v>
      </c>
      <c r="C313" s="8" t="str">
        <f t="shared" si="12"/>
        <v>A駐車場（新宿駅前）</v>
      </c>
      <c r="D313" s="8">
        <f>実績データ!F313</f>
        <v>194</v>
      </c>
      <c r="E313" s="17">
        <f>実績データ!G313</f>
        <v>222504</v>
      </c>
      <c r="F313" s="18">
        <f>実績データ!H313</f>
        <v>0.73073179876231142</v>
      </c>
      <c r="G313" s="8">
        <f>実績データ!I313</f>
        <v>75</v>
      </c>
      <c r="H313" s="8" t="str">
        <f t="shared" si="13"/>
        <v>2026-02</v>
      </c>
      <c r="I313" s="8" t="str">
        <f t="shared" si="14"/>
        <v>金</v>
      </c>
    </row>
    <row r="314" spans="1:9" x14ac:dyDescent="0.15">
      <c r="A314" s="16">
        <f>実績データ!A314</f>
        <v>46060</v>
      </c>
      <c r="B314" s="8" t="str">
        <f>実績データ!C314</f>
        <v>C駐車場 (池袋西口)</v>
      </c>
      <c r="C314" s="8" t="str">
        <f t="shared" si="12"/>
        <v>C駐車場（池袋西口）</v>
      </c>
      <c r="D314" s="8">
        <f>実績データ!F314</f>
        <v>124</v>
      </c>
      <c r="E314" s="17">
        <f>実績データ!G314</f>
        <v>138119</v>
      </c>
      <c r="F314" s="18">
        <f>実績データ!H314</f>
        <v>0.44927337041393228</v>
      </c>
      <c r="G314" s="8">
        <f>実績データ!I314</f>
        <v>64</v>
      </c>
      <c r="H314" s="8" t="str">
        <f t="shared" si="13"/>
        <v>2026-02</v>
      </c>
      <c r="I314" s="8" t="str">
        <f t="shared" si="14"/>
        <v>土</v>
      </c>
    </row>
    <row r="315" spans="1:9" x14ac:dyDescent="0.15">
      <c r="A315" s="16">
        <f>実績データ!A315</f>
        <v>46061</v>
      </c>
      <c r="B315" s="8" t="str">
        <f>実績データ!C315</f>
        <v xml:space="preserve"> C駐車場（池袋西口）</v>
      </c>
      <c r="C315" s="8" t="str">
        <f t="shared" si="12"/>
        <v>C駐車場（池袋西口）</v>
      </c>
      <c r="D315" s="8">
        <f>実績データ!F315</f>
        <v>166</v>
      </c>
      <c r="E315" s="17">
        <f>実績データ!G315</f>
        <v>189702</v>
      </c>
      <c r="F315" s="18">
        <f>実績データ!H315</f>
        <v>0.62419945487973838</v>
      </c>
      <c r="G315" s="8">
        <f>実績データ!I315</f>
        <v>61</v>
      </c>
      <c r="H315" s="8" t="str">
        <f t="shared" si="13"/>
        <v>2026-02</v>
      </c>
      <c r="I315" s="8" t="str">
        <f t="shared" si="14"/>
        <v>日</v>
      </c>
    </row>
    <row r="316" spans="1:9" x14ac:dyDescent="0.15">
      <c r="A316" s="16">
        <f>実績データ!A316</f>
        <v>46062</v>
      </c>
      <c r="B316" s="8" t="str">
        <f>実績データ!C316</f>
        <v xml:space="preserve">B駐車場（渋谷南） </v>
      </c>
      <c r="C316" s="8" t="str">
        <f t="shared" si="12"/>
        <v>B駐車場（渋谷南）</v>
      </c>
      <c r="D316" s="8">
        <f>実績データ!F316</f>
        <v>176</v>
      </c>
      <c r="E316" s="17">
        <f>実績データ!G316</f>
        <v>222974</v>
      </c>
      <c r="F316" s="18">
        <f>実績データ!H316</f>
        <v>0.64088529933251936</v>
      </c>
      <c r="G316" s="8">
        <f>実績データ!I316</f>
        <v>84</v>
      </c>
      <c r="H316" s="8" t="str">
        <f t="shared" si="13"/>
        <v>2026-02</v>
      </c>
      <c r="I316" s="8" t="str">
        <f t="shared" si="14"/>
        <v>月</v>
      </c>
    </row>
    <row r="317" spans="1:9" x14ac:dyDescent="0.15">
      <c r="A317" s="16">
        <f>実績データ!A317</f>
        <v>46063</v>
      </c>
      <c r="B317" s="8" t="str">
        <f>実績データ!C317</f>
        <v xml:space="preserve">D駐車場（横浜元町） </v>
      </c>
      <c r="C317" s="8" t="str">
        <f t="shared" si="12"/>
        <v>D駐車場（横浜元町）</v>
      </c>
      <c r="D317" s="8">
        <f>実績データ!F317</f>
        <v>111</v>
      </c>
      <c r="E317" s="17">
        <f>実績データ!G317</f>
        <v>115989</v>
      </c>
      <c r="F317" s="18">
        <f>実績データ!H317</f>
        <v>0.33507000388707098</v>
      </c>
      <c r="G317" s="8">
        <f>実績データ!I317</f>
        <v>42</v>
      </c>
      <c r="H317" s="8" t="str">
        <f t="shared" si="13"/>
        <v>2026-02</v>
      </c>
      <c r="I317" s="8" t="str">
        <f t="shared" si="14"/>
        <v>火</v>
      </c>
    </row>
    <row r="318" spans="1:9" x14ac:dyDescent="0.15">
      <c r="A318" s="16">
        <f>実績データ!A318</f>
        <v>46064</v>
      </c>
      <c r="B318" s="8" t="str">
        <f>実績データ!C318</f>
        <v xml:space="preserve">B駐車場（渋谷南） </v>
      </c>
      <c r="C318" s="8" t="str">
        <f t="shared" si="12"/>
        <v>B駐車場（渋谷南）</v>
      </c>
      <c r="D318" s="8">
        <f>実績データ!F318</f>
        <v>196</v>
      </c>
      <c r="E318" s="17">
        <f>実績データ!G318</f>
        <v>264314</v>
      </c>
      <c r="F318" s="18">
        <f>実績データ!H318</f>
        <v>0.70255975246837743</v>
      </c>
      <c r="G318" s="8">
        <f>実績データ!I318</f>
        <v>67</v>
      </c>
      <c r="H318" s="8" t="str">
        <f t="shared" si="13"/>
        <v>2026-02</v>
      </c>
      <c r="I318" s="8" t="str">
        <f t="shared" si="14"/>
        <v>水</v>
      </c>
    </row>
    <row r="319" spans="1:9" x14ac:dyDescent="0.15">
      <c r="A319" s="16">
        <f>実績データ!A319</f>
        <v>46065</v>
      </c>
      <c r="B319" s="8" t="str">
        <f>実績データ!C319</f>
        <v xml:space="preserve">B駐車場（渋谷南） </v>
      </c>
      <c r="C319" s="8" t="str">
        <f t="shared" si="12"/>
        <v>B駐車場（渋谷南）</v>
      </c>
      <c r="D319" s="8">
        <f>実績データ!F319</f>
        <v>202</v>
      </c>
      <c r="E319" s="17">
        <f>実績データ!G319</f>
        <v>222120</v>
      </c>
      <c r="F319" s="18">
        <f>実績データ!H319</f>
        <v>0.73603624768010112</v>
      </c>
      <c r="G319" s="8">
        <f>実績データ!I319</f>
        <v>77</v>
      </c>
      <c r="H319" s="8" t="str">
        <f t="shared" si="13"/>
        <v>2026-02</v>
      </c>
      <c r="I319" s="8" t="str">
        <f t="shared" si="14"/>
        <v>木</v>
      </c>
    </row>
    <row r="320" spans="1:9" x14ac:dyDescent="0.15">
      <c r="A320" s="16">
        <f>実績データ!A320</f>
        <v>46066</v>
      </c>
      <c r="B320" s="8" t="str">
        <f>実績データ!C320</f>
        <v xml:space="preserve">D駐車場（横浜元町） </v>
      </c>
      <c r="C320" s="8" t="str">
        <f t="shared" si="12"/>
        <v>D駐車場（横浜元町）</v>
      </c>
      <c r="D320" s="8">
        <f>実績データ!F320</f>
        <v>141</v>
      </c>
      <c r="E320" s="17">
        <f>実績データ!G320</f>
        <v>178414</v>
      </c>
      <c r="F320" s="18">
        <f>実績データ!H320</f>
        <v>0.54933169739604304</v>
      </c>
      <c r="G320" s="8">
        <f>実績データ!I320</f>
        <v>64</v>
      </c>
      <c r="H320" s="8" t="str">
        <f t="shared" si="13"/>
        <v>2026-02</v>
      </c>
      <c r="I320" s="8" t="str">
        <f t="shared" si="14"/>
        <v>金</v>
      </c>
    </row>
    <row r="321" spans="1:9" x14ac:dyDescent="0.15">
      <c r="A321" s="16">
        <f>実績データ!A321</f>
        <v>46067</v>
      </c>
      <c r="B321" s="8" t="str">
        <f>実績データ!C321</f>
        <v>C駐車場 (池袋西口)</v>
      </c>
      <c r="C321" s="8" t="str">
        <f t="shared" si="12"/>
        <v>C駐車場（池袋西口）</v>
      </c>
      <c r="D321" s="8">
        <f>実績データ!F321</f>
        <v>156</v>
      </c>
      <c r="E321" s="17">
        <f>実績データ!G321</f>
        <v>197194</v>
      </c>
      <c r="F321" s="18">
        <f>実績データ!H321</f>
        <v>0.5971971306351177</v>
      </c>
      <c r="G321" s="8">
        <f>実績データ!I321</f>
        <v>54</v>
      </c>
      <c r="H321" s="8" t="str">
        <f t="shared" si="13"/>
        <v>2026-02</v>
      </c>
      <c r="I321" s="8" t="str">
        <f t="shared" si="14"/>
        <v>土</v>
      </c>
    </row>
    <row r="322" spans="1:9" x14ac:dyDescent="0.15">
      <c r="A322" s="16">
        <f>実績データ!A322</f>
        <v>46068</v>
      </c>
      <c r="B322" s="8" t="str">
        <f>実績データ!C322</f>
        <v>C駐車場 (池袋西口)</v>
      </c>
      <c r="C322" s="8" t="str">
        <f t="shared" ref="C322:C385" si="15">SUBSTITUTE(SUBSTITUTE(SUBSTITUTE(SUBSTITUTE(B322," ",""),"　",""),"(","（"),")","）")</f>
        <v>C駐車場（池袋西口）</v>
      </c>
      <c r="D322" s="8">
        <f>実績データ!F322</f>
        <v>151</v>
      </c>
      <c r="E322" s="17">
        <f>実績データ!G322</f>
        <v>157625</v>
      </c>
      <c r="F322" s="18">
        <f>実績データ!H322</f>
        <v>0.5371544742512071</v>
      </c>
      <c r="G322" s="8">
        <f>実績データ!I322</f>
        <v>79</v>
      </c>
      <c r="H322" s="8" t="str">
        <f t="shared" ref="H322:H385" si="16">TEXT(A322,"yyyy-mm")</f>
        <v>2026-02</v>
      </c>
      <c r="I322" s="8" t="str">
        <f t="shared" ref="I322:I385" si="17">TEXT(A322,"aaa")</f>
        <v>日</v>
      </c>
    </row>
    <row r="323" spans="1:9" x14ac:dyDescent="0.15">
      <c r="A323" s="16">
        <f>実績データ!A323</f>
        <v>46069</v>
      </c>
      <c r="B323" s="8" t="str">
        <f>実績データ!C323</f>
        <v>B駐車場（渋谷南）</v>
      </c>
      <c r="C323" s="8" t="str">
        <f t="shared" si="15"/>
        <v>B駐車場（渋谷南）</v>
      </c>
      <c r="D323" s="8">
        <f>実績データ!F323</f>
        <v>193</v>
      </c>
      <c r="E323" s="17">
        <f>実績データ!G323</f>
        <v>238961</v>
      </c>
      <c r="F323" s="18">
        <f>実績データ!H323</f>
        <v>0.77046105597658954</v>
      </c>
      <c r="G323" s="8">
        <f>実績データ!I323</f>
        <v>66</v>
      </c>
      <c r="H323" s="8" t="str">
        <f t="shared" si="16"/>
        <v>2026-02</v>
      </c>
      <c r="I323" s="8" t="str">
        <f t="shared" si="17"/>
        <v>月</v>
      </c>
    </row>
    <row r="324" spans="1:9" x14ac:dyDescent="0.15">
      <c r="A324" s="16">
        <f>実績データ!A324</f>
        <v>46070</v>
      </c>
      <c r="B324" s="8" t="str">
        <f>実績データ!C324</f>
        <v>C駐車場（池袋西口）</v>
      </c>
      <c r="C324" s="8" t="str">
        <f t="shared" si="15"/>
        <v>C駐車場（池袋西口）</v>
      </c>
      <c r="D324" s="8">
        <f>実績データ!F324</f>
        <v>116</v>
      </c>
      <c r="E324" s="17">
        <f>実績データ!G324</f>
        <v>156039</v>
      </c>
      <c r="F324" s="18">
        <f>実績データ!H324</f>
        <v>0.34237359165920361</v>
      </c>
      <c r="G324" s="8">
        <f>実績データ!I324</f>
        <v>77</v>
      </c>
      <c r="H324" s="8" t="str">
        <f t="shared" si="16"/>
        <v>2026-02</v>
      </c>
      <c r="I324" s="8" t="str">
        <f t="shared" si="17"/>
        <v>火</v>
      </c>
    </row>
    <row r="325" spans="1:9" x14ac:dyDescent="0.15">
      <c r="A325" s="16">
        <f>実績データ!A325</f>
        <v>46071</v>
      </c>
      <c r="B325" s="8" t="str">
        <f>実績データ!C325</f>
        <v>D駐車場 (横浜元町)</v>
      </c>
      <c r="C325" s="8" t="str">
        <f t="shared" si="15"/>
        <v>D駐車場（横浜元町）</v>
      </c>
      <c r="D325" s="8">
        <f>実績データ!F325</f>
        <v>135</v>
      </c>
      <c r="E325" s="17">
        <f>実績データ!G325</f>
        <v>163626</v>
      </c>
      <c r="F325" s="18">
        <f>実績データ!H325</f>
        <v>0.52564696779904208</v>
      </c>
      <c r="G325" s="8">
        <f>実績データ!I325</f>
        <v>75</v>
      </c>
      <c r="H325" s="8" t="str">
        <f t="shared" si="16"/>
        <v>2026-02</v>
      </c>
      <c r="I325" s="8" t="str">
        <f t="shared" si="17"/>
        <v>水</v>
      </c>
    </row>
    <row r="326" spans="1:9" x14ac:dyDescent="0.15">
      <c r="A326" s="16">
        <f>実績データ!A326</f>
        <v>46072</v>
      </c>
      <c r="B326" s="8" t="str">
        <f>実績データ!C326</f>
        <v>C駐車場 (池袋西口)</v>
      </c>
      <c r="C326" s="8" t="str">
        <f t="shared" si="15"/>
        <v>C駐車場（池袋西口）</v>
      </c>
      <c r="D326" s="8">
        <f>実績データ!F326</f>
        <v>127</v>
      </c>
      <c r="E326" s="17">
        <f>実績データ!G326</f>
        <v>146964</v>
      </c>
      <c r="F326" s="18">
        <f>実績データ!H326</f>
        <v>0.51733242574830407</v>
      </c>
      <c r="G326" s="8">
        <f>実績データ!I326</f>
        <v>67</v>
      </c>
      <c r="H326" s="8" t="str">
        <f t="shared" si="16"/>
        <v>2026-02</v>
      </c>
      <c r="I326" s="8" t="str">
        <f t="shared" si="17"/>
        <v>木</v>
      </c>
    </row>
    <row r="327" spans="1:9" x14ac:dyDescent="0.15">
      <c r="A327" s="16">
        <f>実績データ!A327</f>
        <v>46073</v>
      </c>
      <c r="B327" s="8" t="str">
        <f>実績データ!C327</f>
        <v>B駐車場 (渋谷南)</v>
      </c>
      <c r="C327" s="8" t="str">
        <f t="shared" si="15"/>
        <v>B駐車場（渋谷南）</v>
      </c>
      <c r="D327" s="8">
        <f>実績データ!F327</f>
        <v>216</v>
      </c>
      <c r="E327" s="17">
        <f>実績データ!G327</f>
        <v>262958</v>
      </c>
      <c r="F327" s="18">
        <f>実績データ!H327</f>
        <v>0.92628491333422491</v>
      </c>
      <c r="G327" s="8">
        <f>実績データ!I327</f>
        <v>65</v>
      </c>
      <c r="H327" s="8" t="str">
        <f t="shared" si="16"/>
        <v>2026-02</v>
      </c>
      <c r="I327" s="8" t="str">
        <f t="shared" si="17"/>
        <v>金</v>
      </c>
    </row>
    <row r="328" spans="1:9" x14ac:dyDescent="0.15">
      <c r="A328" s="16">
        <f>実績データ!A328</f>
        <v>46074</v>
      </c>
      <c r="B328" s="8" t="str">
        <f>実績データ!C328</f>
        <v xml:space="preserve">B駐車場（渋谷南） </v>
      </c>
      <c r="C328" s="8" t="str">
        <f t="shared" si="15"/>
        <v>B駐車場（渋谷南）</v>
      </c>
      <c r="D328" s="8">
        <f>実績データ!F328</f>
        <v>210</v>
      </c>
      <c r="E328" s="17">
        <f>実績データ!G328</f>
        <v>268811</v>
      </c>
      <c r="F328" s="18">
        <f>実績データ!H328</f>
        <v>0.8087280441298379</v>
      </c>
      <c r="G328" s="8">
        <f>実績データ!I328</f>
        <v>93</v>
      </c>
      <c r="H328" s="8" t="str">
        <f t="shared" si="16"/>
        <v>2026-02</v>
      </c>
      <c r="I328" s="8" t="str">
        <f t="shared" si="17"/>
        <v>土</v>
      </c>
    </row>
    <row r="329" spans="1:9" x14ac:dyDescent="0.15">
      <c r="A329" s="16">
        <f>実績データ!A329</f>
        <v>46075</v>
      </c>
      <c r="B329" s="8" t="str">
        <f>実績データ!C329</f>
        <v xml:space="preserve"> C駐車場（池袋西口）</v>
      </c>
      <c r="C329" s="8" t="str">
        <f t="shared" si="15"/>
        <v>C駐車場（池袋西口）</v>
      </c>
      <c r="D329" s="8">
        <f>実績データ!F329</f>
        <v>135</v>
      </c>
      <c r="E329" s="17">
        <f>実績データ!G329</f>
        <v>152276</v>
      </c>
      <c r="F329" s="18">
        <f>実績データ!H329</f>
        <v>0.57462375684485045</v>
      </c>
      <c r="G329" s="8">
        <f>実績データ!I329</f>
        <v>74</v>
      </c>
      <c r="H329" s="8" t="str">
        <f t="shared" si="16"/>
        <v>2026-02</v>
      </c>
      <c r="I329" s="8" t="str">
        <f t="shared" si="17"/>
        <v>日</v>
      </c>
    </row>
    <row r="330" spans="1:9" x14ac:dyDescent="0.15">
      <c r="A330" s="16">
        <f>実績データ!A330</f>
        <v>46076</v>
      </c>
      <c r="B330" s="8" t="str">
        <f>実績データ!C330</f>
        <v>C駐車場 (池袋西口)</v>
      </c>
      <c r="C330" s="8" t="str">
        <f t="shared" si="15"/>
        <v>C駐車場（池袋西口）</v>
      </c>
      <c r="D330" s="8">
        <f>実績データ!F330</f>
        <v>117</v>
      </c>
      <c r="E330" s="17">
        <f>実績データ!G330</f>
        <v>143129</v>
      </c>
      <c r="F330" s="18">
        <f>実績データ!H330</f>
        <v>0.38859426420272147</v>
      </c>
      <c r="G330" s="8">
        <f>実績データ!I330</f>
        <v>60</v>
      </c>
      <c r="H330" s="8" t="str">
        <f t="shared" si="16"/>
        <v>2026-02</v>
      </c>
      <c r="I330" s="8" t="str">
        <f t="shared" si="17"/>
        <v>月</v>
      </c>
    </row>
    <row r="331" spans="1:9" x14ac:dyDescent="0.15">
      <c r="A331" s="16">
        <f>実績データ!A331</f>
        <v>46077</v>
      </c>
      <c r="B331" s="8" t="str">
        <f>実績データ!C331</f>
        <v xml:space="preserve"> C駐車場（池袋西口）</v>
      </c>
      <c r="C331" s="8" t="str">
        <f t="shared" si="15"/>
        <v>C駐車場（池袋西口）</v>
      </c>
      <c r="D331" s="8">
        <f>実績データ!F331</f>
        <v>156</v>
      </c>
      <c r="E331" s="17">
        <f>実績データ!G331</f>
        <v>168346</v>
      </c>
      <c r="F331" s="18">
        <f>実績データ!H331</f>
        <v>0.52644639484057609</v>
      </c>
      <c r="G331" s="8">
        <f>実績データ!I331</f>
        <v>80</v>
      </c>
      <c r="H331" s="8" t="str">
        <f t="shared" si="16"/>
        <v>2026-02</v>
      </c>
      <c r="I331" s="8" t="str">
        <f t="shared" si="17"/>
        <v>火</v>
      </c>
    </row>
    <row r="332" spans="1:9" x14ac:dyDescent="0.15">
      <c r="A332" s="16">
        <f>実績データ!A332</f>
        <v>46078</v>
      </c>
      <c r="B332" s="8" t="str">
        <f>実績データ!C332</f>
        <v xml:space="preserve"> C駐車場（池袋西口）</v>
      </c>
      <c r="C332" s="8" t="str">
        <f t="shared" si="15"/>
        <v>C駐車場（池袋西口）</v>
      </c>
      <c r="D332" s="8">
        <f>実績データ!F332</f>
        <v>145</v>
      </c>
      <c r="E332" s="17">
        <f>実績データ!G332</f>
        <v>162948</v>
      </c>
      <c r="F332" s="18">
        <f>実績データ!H332</f>
        <v>0.51777651638883759</v>
      </c>
      <c r="G332" s="8">
        <f>実績データ!I332</f>
        <v>63</v>
      </c>
      <c r="H332" s="8" t="str">
        <f t="shared" si="16"/>
        <v>2026-02</v>
      </c>
      <c r="I332" s="8" t="str">
        <f t="shared" si="17"/>
        <v>水</v>
      </c>
    </row>
    <row r="333" spans="1:9" x14ac:dyDescent="0.15">
      <c r="A333" s="16">
        <f>実績データ!A333</f>
        <v>46079</v>
      </c>
      <c r="B333" s="8" t="str">
        <f>実績データ!C333</f>
        <v xml:space="preserve"> A駐車場（新宿駅前）</v>
      </c>
      <c r="C333" s="8" t="str">
        <f t="shared" si="15"/>
        <v>A駐車場（新宿駅前）</v>
      </c>
      <c r="D333" s="8">
        <f>実績データ!F333</f>
        <v>217</v>
      </c>
      <c r="E333" s="17">
        <f>実績データ!G333</f>
        <v>277040</v>
      </c>
      <c r="F333" s="18">
        <f>実績データ!H333</f>
        <v>0.8171653903134144</v>
      </c>
      <c r="G333" s="8">
        <f>実績データ!I333</f>
        <v>73</v>
      </c>
      <c r="H333" s="8" t="str">
        <f t="shared" si="16"/>
        <v>2026-02</v>
      </c>
      <c r="I333" s="8" t="str">
        <f t="shared" si="17"/>
        <v>木</v>
      </c>
    </row>
    <row r="334" spans="1:9" x14ac:dyDescent="0.15">
      <c r="A334" s="16">
        <f>実績データ!A334</f>
        <v>46080</v>
      </c>
      <c r="B334" s="8" t="str">
        <f>実績データ!C334</f>
        <v>A駐車場（新宿駅前）</v>
      </c>
      <c r="C334" s="8" t="str">
        <f t="shared" si="15"/>
        <v>A駐車場（新宿駅前）</v>
      </c>
      <c r="D334" s="8">
        <f>実績データ!F334</f>
        <v>211</v>
      </c>
      <c r="E334" s="17">
        <f>実績データ!G334</f>
        <v>256770</v>
      </c>
      <c r="F334" s="18">
        <f>実績データ!H334</f>
        <v>0.88821360283589168</v>
      </c>
      <c r="G334" s="8">
        <f>実績データ!I334</f>
        <v>71</v>
      </c>
      <c r="H334" s="8" t="str">
        <f t="shared" si="16"/>
        <v>2026-02</v>
      </c>
      <c r="I334" s="8" t="str">
        <f t="shared" si="17"/>
        <v>金</v>
      </c>
    </row>
    <row r="335" spans="1:9" x14ac:dyDescent="0.15">
      <c r="A335" s="16">
        <f>実績データ!A335</f>
        <v>46081</v>
      </c>
      <c r="B335" s="8" t="str">
        <f>実績データ!C335</f>
        <v>A駐車場（新宿駅前）</v>
      </c>
      <c r="C335" s="8" t="str">
        <f t="shared" si="15"/>
        <v>A駐車場（新宿駅前）</v>
      </c>
      <c r="D335" s="8">
        <f>実績データ!F335</f>
        <v>200</v>
      </c>
      <c r="E335" s="17">
        <f>実績データ!G335</f>
        <v>236478</v>
      </c>
      <c r="F335" s="18">
        <f>実績データ!H335</f>
        <v>0.71674838443131073</v>
      </c>
      <c r="G335" s="8">
        <f>実績データ!I335</f>
        <v>84</v>
      </c>
      <c r="H335" s="8" t="str">
        <f t="shared" si="16"/>
        <v>2026-02</v>
      </c>
      <c r="I335" s="8" t="str">
        <f t="shared" si="17"/>
        <v>土</v>
      </c>
    </row>
    <row r="336" spans="1:9" x14ac:dyDescent="0.15">
      <c r="A336" s="16">
        <f>実績データ!A336</f>
        <v>46082</v>
      </c>
      <c r="B336" s="8" t="str">
        <f>実績データ!C336</f>
        <v>C駐車場（池袋西口）</v>
      </c>
      <c r="C336" s="8" t="str">
        <f t="shared" si="15"/>
        <v>C駐車場（池袋西口）</v>
      </c>
      <c r="D336" s="8">
        <f>実績データ!F336</f>
        <v>144</v>
      </c>
      <c r="E336" s="17">
        <f>実績データ!G336</f>
        <v>151455</v>
      </c>
      <c r="F336" s="18">
        <f>実績データ!H336</f>
        <v>0.5400279856469804</v>
      </c>
      <c r="G336" s="8">
        <f>実績データ!I336</f>
        <v>69</v>
      </c>
      <c r="H336" s="8" t="str">
        <f t="shared" si="16"/>
        <v>2026-03</v>
      </c>
      <c r="I336" s="8" t="str">
        <f t="shared" si="17"/>
        <v>日</v>
      </c>
    </row>
    <row r="337" spans="1:9" x14ac:dyDescent="0.15">
      <c r="A337" s="16">
        <f>実績データ!A337</f>
        <v>46083</v>
      </c>
      <c r="B337" s="8" t="str">
        <f>実績データ!C337</f>
        <v>D駐車場 (横浜元町)</v>
      </c>
      <c r="C337" s="8" t="str">
        <f t="shared" si="15"/>
        <v>D駐車場（横浜元町）</v>
      </c>
      <c r="D337" s="8">
        <f>実績データ!F337</f>
        <v>153</v>
      </c>
      <c r="E337" s="17">
        <f>実績データ!G337</f>
        <v>186585</v>
      </c>
      <c r="F337" s="18">
        <f>実績データ!H337</f>
        <v>0.55076014333822954</v>
      </c>
      <c r="G337" s="8">
        <f>実績データ!I337</f>
        <v>68</v>
      </c>
      <c r="H337" s="8" t="str">
        <f t="shared" si="16"/>
        <v>2026-03</v>
      </c>
      <c r="I337" s="8" t="str">
        <f t="shared" si="17"/>
        <v>月</v>
      </c>
    </row>
    <row r="338" spans="1:9" x14ac:dyDescent="0.15">
      <c r="A338" s="16">
        <f>実績データ!A338</f>
        <v>46084</v>
      </c>
      <c r="B338" s="8" t="str">
        <f>実績データ!C338</f>
        <v>A駐車場（新宿駅前）</v>
      </c>
      <c r="C338" s="8" t="str">
        <f t="shared" si="15"/>
        <v>A駐車場（新宿駅前）</v>
      </c>
      <c r="D338" s="8">
        <f>実績データ!F338</f>
        <v>212</v>
      </c>
      <c r="E338" s="17">
        <f>実績データ!G338</f>
        <v>257705</v>
      </c>
      <c r="F338" s="18">
        <f>実績データ!H338</f>
        <v>0.82443379004963491</v>
      </c>
      <c r="G338" s="8">
        <f>実績データ!I338</f>
        <v>74</v>
      </c>
      <c r="H338" s="8" t="str">
        <f t="shared" si="16"/>
        <v>2026-03</v>
      </c>
      <c r="I338" s="8" t="str">
        <f t="shared" si="17"/>
        <v>火</v>
      </c>
    </row>
    <row r="339" spans="1:9" x14ac:dyDescent="0.15">
      <c r="A339" s="16">
        <f>実績データ!A339</f>
        <v>46085</v>
      </c>
      <c r="B339" s="8" t="str">
        <f>実績データ!C339</f>
        <v>A駐車場 (新宿駅前)</v>
      </c>
      <c r="C339" s="8" t="str">
        <f t="shared" si="15"/>
        <v>A駐車場（新宿駅前）</v>
      </c>
      <c r="D339" s="8">
        <f>実績データ!F339</f>
        <v>179</v>
      </c>
      <c r="E339" s="17">
        <f>実績データ!G339</f>
        <v>241203</v>
      </c>
      <c r="F339" s="18">
        <f>実績データ!H339</f>
        <v>0.72773944076635666</v>
      </c>
      <c r="G339" s="8">
        <f>実績データ!I339</f>
        <v>82</v>
      </c>
      <c r="H339" s="8" t="str">
        <f t="shared" si="16"/>
        <v>2026-03</v>
      </c>
      <c r="I339" s="8" t="str">
        <f t="shared" si="17"/>
        <v>水</v>
      </c>
    </row>
    <row r="340" spans="1:9" x14ac:dyDescent="0.15">
      <c r="A340" s="16">
        <f>実績データ!A340</f>
        <v>46086</v>
      </c>
      <c r="B340" s="8" t="str">
        <f>実績データ!C340</f>
        <v>A駐車場 (新宿駅前)</v>
      </c>
      <c r="C340" s="8" t="str">
        <f t="shared" si="15"/>
        <v>A駐車場（新宿駅前）</v>
      </c>
      <c r="D340" s="8">
        <f>実績データ!F340</f>
        <v>191</v>
      </c>
      <c r="E340" s="17">
        <f>実績データ!G340</f>
        <v>232721</v>
      </c>
      <c r="F340" s="18">
        <f>実績データ!H340</f>
        <v>0.71246209027178886</v>
      </c>
      <c r="G340" s="8">
        <f>実績データ!I340</f>
        <v>65</v>
      </c>
      <c r="H340" s="8" t="str">
        <f t="shared" si="16"/>
        <v>2026-03</v>
      </c>
      <c r="I340" s="8" t="str">
        <f t="shared" si="17"/>
        <v>木</v>
      </c>
    </row>
    <row r="341" spans="1:9" x14ac:dyDescent="0.15">
      <c r="A341" s="16">
        <f>実績データ!A341</f>
        <v>46087</v>
      </c>
      <c r="B341" s="8" t="str">
        <f>実績データ!C341</f>
        <v>D駐車場（横浜元町）</v>
      </c>
      <c r="C341" s="8" t="str">
        <f t="shared" si="15"/>
        <v>D駐車場（横浜元町）</v>
      </c>
      <c r="D341" s="8">
        <f>実績データ!F341</f>
        <v>118</v>
      </c>
      <c r="E341" s="17">
        <f>実績データ!G341</f>
        <v>129417</v>
      </c>
      <c r="F341" s="18">
        <f>実績データ!H341</f>
        <v>0.46908316057293231</v>
      </c>
      <c r="G341" s="8">
        <f>実績データ!I341</f>
        <v>86</v>
      </c>
      <c r="H341" s="8" t="str">
        <f t="shared" si="16"/>
        <v>2026-03</v>
      </c>
      <c r="I341" s="8" t="str">
        <f t="shared" si="17"/>
        <v>金</v>
      </c>
    </row>
    <row r="342" spans="1:9" x14ac:dyDescent="0.15">
      <c r="A342" s="16">
        <f>実績データ!A342</f>
        <v>46088</v>
      </c>
      <c r="B342" s="8" t="str">
        <f>実績データ!C342</f>
        <v>C駐車場（池袋西口）</v>
      </c>
      <c r="C342" s="8" t="str">
        <f t="shared" si="15"/>
        <v>C駐車場（池袋西口）</v>
      </c>
      <c r="D342" s="8">
        <f>実績データ!F342</f>
        <v>164</v>
      </c>
      <c r="E342" s="17">
        <f>実績データ!G342</f>
        <v>192773</v>
      </c>
      <c r="F342" s="18">
        <f>実績データ!H342</f>
        <v>0.64875981721613485</v>
      </c>
      <c r="G342" s="8">
        <f>実績データ!I342</f>
        <v>72</v>
      </c>
      <c r="H342" s="8" t="str">
        <f t="shared" si="16"/>
        <v>2026-03</v>
      </c>
      <c r="I342" s="8" t="str">
        <f t="shared" si="17"/>
        <v>土</v>
      </c>
    </row>
    <row r="343" spans="1:9" x14ac:dyDescent="0.15">
      <c r="A343" s="16">
        <f>実績データ!A343</f>
        <v>46089</v>
      </c>
      <c r="B343" s="8" t="str">
        <f>実績データ!C343</f>
        <v>A駐車場 (新宿駅前)</v>
      </c>
      <c r="C343" s="8" t="str">
        <f t="shared" si="15"/>
        <v>A駐車場（新宿駅前）</v>
      </c>
      <c r="D343" s="8">
        <f>実績データ!F343</f>
        <v>224</v>
      </c>
      <c r="E343" s="17">
        <f>実績データ!G343</f>
        <v>258915</v>
      </c>
      <c r="F343" s="18">
        <f>実績データ!H343</f>
        <v>0.84806037843695914</v>
      </c>
      <c r="G343" s="8">
        <f>実績データ!I343</f>
        <v>81</v>
      </c>
      <c r="H343" s="8" t="str">
        <f t="shared" si="16"/>
        <v>2026-03</v>
      </c>
      <c r="I343" s="8" t="str">
        <f t="shared" si="17"/>
        <v>日</v>
      </c>
    </row>
    <row r="344" spans="1:9" x14ac:dyDescent="0.15">
      <c r="A344" s="16">
        <f>実績データ!A344</f>
        <v>46090</v>
      </c>
      <c r="B344" s="8" t="str">
        <f>実績データ!C344</f>
        <v>C駐車場（池袋西口）</v>
      </c>
      <c r="C344" s="8" t="str">
        <f t="shared" si="15"/>
        <v>C駐車場（池袋西口）</v>
      </c>
      <c r="D344" s="8">
        <f>実績データ!F344</f>
        <v>119</v>
      </c>
      <c r="E344" s="17">
        <f>実績データ!G344</f>
        <v>124920</v>
      </c>
      <c r="F344" s="18">
        <f>実績データ!H344</f>
        <v>0.46472405318211329</v>
      </c>
      <c r="G344" s="8">
        <f>実績データ!I344</f>
        <v>62</v>
      </c>
      <c r="H344" s="8" t="str">
        <f t="shared" si="16"/>
        <v>2026-03</v>
      </c>
      <c r="I344" s="8" t="str">
        <f t="shared" si="17"/>
        <v>月</v>
      </c>
    </row>
    <row r="345" spans="1:9" x14ac:dyDescent="0.15">
      <c r="A345" s="16">
        <f>実績データ!A345</f>
        <v>46091</v>
      </c>
      <c r="B345" s="8" t="str">
        <f>実績データ!C345</f>
        <v xml:space="preserve">D駐車場（横浜元町） </v>
      </c>
      <c r="C345" s="8" t="str">
        <f t="shared" si="15"/>
        <v>D駐車場（横浜元町）</v>
      </c>
      <c r="D345" s="8">
        <f>実績データ!F345</f>
        <v>128</v>
      </c>
      <c r="E345" s="17">
        <f>実績データ!G345</f>
        <v>146246</v>
      </c>
      <c r="F345" s="18">
        <f>実績データ!H345</f>
        <v>0.49648192785099737</v>
      </c>
      <c r="G345" s="8">
        <f>実績データ!I345</f>
        <v>69</v>
      </c>
      <c r="H345" s="8" t="str">
        <f t="shared" si="16"/>
        <v>2026-03</v>
      </c>
      <c r="I345" s="8" t="str">
        <f t="shared" si="17"/>
        <v>火</v>
      </c>
    </row>
    <row r="346" spans="1:9" x14ac:dyDescent="0.15">
      <c r="A346" s="16">
        <f>実績データ!A346</f>
        <v>46092</v>
      </c>
      <c r="B346" s="8" t="str">
        <f>実績データ!C346</f>
        <v>D駐車場（横浜元町）</v>
      </c>
      <c r="C346" s="8" t="str">
        <f t="shared" si="15"/>
        <v>D駐車場（横浜元町）</v>
      </c>
      <c r="D346" s="8">
        <f>実績データ!F346</f>
        <v>148</v>
      </c>
      <c r="E346" s="17">
        <f>実績データ!G346</f>
        <v>161224</v>
      </c>
      <c r="F346" s="18">
        <f>実績データ!H346</f>
        <v>0.53404553535865351</v>
      </c>
      <c r="G346" s="8">
        <f>実績データ!I346</f>
        <v>79</v>
      </c>
      <c r="H346" s="8" t="str">
        <f t="shared" si="16"/>
        <v>2026-03</v>
      </c>
      <c r="I346" s="8" t="str">
        <f t="shared" si="17"/>
        <v>水</v>
      </c>
    </row>
    <row r="347" spans="1:9" x14ac:dyDescent="0.15">
      <c r="A347" s="16">
        <f>実績データ!A347</f>
        <v>46093</v>
      </c>
      <c r="B347" s="8" t="str">
        <f>実績データ!C347</f>
        <v>A駐車場 (新宿駅前)</v>
      </c>
      <c r="C347" s="8" t="str">
        <f t="shared" si="15"/>
        <v>A駐車場（新宿駅前）</v>
      </c>
      <c r="D347" s="8">
        <f>実績データ!F347</f>
        <v>207</v>
      </c>
      <c r="E347" s="17">
        <f>実績データ!G347</f>
        <v>253264</v>
      </c>
      <c r="F347" s="18">
        <f>実績データ!H347</f>
        <v>0.87155692436344223</v>
      </c>
      <c r="G347" s="8">
        <f>実績データ!I347</f>
        <v>62</v>
      </c>
      <c r="H347" s="8" t="str">
        <f t="shared" si="16"/>
        <v>2026-03</v>
      </c>
      <c r="I347" s="8" t="str">
        <f t="shared" si="17"/>
        <v>木</v>
      </c>
    </row>
    <row r="348" spans="1:9" x14ac:dyDescent="0.15">
      <c r="A348" s="16">
        <f>実績データ!A348</f>
        <v>46094</v>
      </c>
      <c r="B348" s="8" t="str">
        <f>実績データ!C348</f>
        <v xml:space="preserve">D駐車場（横浜元町） </v>
      </c>
      <c r="C348" s="8" t="str">
        <f t="shared" si="15"/>
        <v>D駐車場（横浜元町）</v>
      </c>
      <c r="D348" s="8">
        <f>実績データ!F348</f>
        <v>117</v>
      </c>
      <c r="E348" s="17">
        <f>実績データ!G348</f>
        <v>142513</v>
      </c>
      <c r="F348" s="18">
        <f>実績データ!H348</f>
        <v>0.42240149910636487</v>
      </c>
      <c r="G348" s="8">
        <f>実績データ!I348</f>
        <v>62</v>
      </c>
      <c r="H348" s="8" t="str">
        <f t="shared" si="16"/>
        <v>2026-03</v>
      </c>
      <c r="I348" s="8" t="str">
        <f t="shared" si="17"/>
        <v>金</v>
      </c>
    </row>
    <row r="349" spans="1:9" x14ac:dyDescent="0.15">
      <c r="A349" s="16">
        <f>実績データ!A349</f>
        <v>46095</v>
      </c>
      <c r="B349" s="8" t="str">
        <f>実績データ!C349</f>
        <v xml:space="preserve"> C駐車場（池袋西口）</v>
      </c>
      <c r="C349" s="8" t="str">
        <f t="shared" si="15"/>
        <v>C駐車場（池袋西口）</v>
      </c>
      <c r="D349" s="8">
        <f>実績データ!F349</f>
        <v>186</v>
      </c>
      <c r="E349" s="17">
        <f>実績データ!G349</f>
        <v>234217</v>
      </c>
      <c r="F349" s="18">
        <f>実績データ!H349</f>
        <v>0.73546037443086887</v>
      </c>
      <c r="G349" s="8">
        <f>実績データ!I349</f>
        <v>67</v>
      </c>
      <c r="H349" s="8" t="str">
        <f t="shared" si="16"/>
        <v>2026-03</v>
      </c>
      <c r="I349" s="8" t="str">
        <f t="shared" si="17"/>
        <v>土</v>
      </c>
    </row>
    <row r="350" spans="1:9" x14ac:dyDescent="0.15">
      <c r="A350" s="16">
        <f>実績データ!A350</f>
        <v>46096</v>
      </c>
      <c r="B350" s="8" t="str">
        <f>実績データ!C350</f>
        <v xml:space="preserve"> C駐車場（池袋西口）</v>
      </c>
      <c r="C350" s="8" t="str">
        <f t="shared" si="15"/>
        <v>C駐車場（池袋西口）</v>
      </c>
      <c r="D350" s="8">
        <f>実績データ!F350</f>
        <v>141</v>
      </c>
      <c r="E350" s="17">
        <f>実績データ!G350</f>
        <v>149373</v>
      </c>
      <c r="F350" s="18">
        <f>実績データ!H350</f>
        <v>0.54919463501632748</v>
      </c>
      <c r="G350" s="8">
        <f>実績データ!I350</f>
        <v>65</v>
      </c>
      <c r="H350" s="8" t="str">
        <f t="shared" si="16"/>
        <v>2026-03</v>
      </c>
      <c r="I350" s="8" t="str">
        <f t="shared" si="17"/>
        <v>日</v>
      </c>
    </row>
    <row r="351" spans="1:9" x14ac:dyDescent="0.15">
      <c r="A351" s="16">
        <f>実績データ!A351</f>
        <v>46097</v>
      </c>
      <c r="B351" s="8" t="str">
        <f>実績データ!C351</f>
        <v>D駐車場（横浜元町）</v>
      </c>
      <c r="C351" s="8" t="str">
        <f t="shared" si="15"/>
        <v>D駐車場（横浜元町）</v>
      </c>
      <c r="D351" s="8">
        <f>実績データ!F351</f>
        <v>129</v>
      </c>
      <c r="E351" s="17">
        <f>実績データ!G351</f>
        <v>148311</v>
      </c>
      <c r="F351" s="18">
        <f>実績データ!H351</f>
        <v>0.47035289740503949</v>
      </c>
      <c r="G351" s="8">
        <f>実績データ!I351</f>
        <v>59</v>
      </c>
      <c r="H351" s="8" t="str">
        <f t="shared" si="16"/>
        <v>2026-03</v>
      </c>
      <c r="I351" s="8" t="str">
        <f t="shared" si="17"/>
        <v>月</v>
      </c>
    </row>
    <row r="352" spans="1:9" x14ac:dyDescent="0.15">
      <c r="A352" s="16">
        <f>実績データ!A352</f>
        <v>46098</v>
      </c>
      <c r="B352" s="8" t="str">
        <f>実績データ!C352</f>
        <v>B駐車場（渋谷南）</v>
      </c>
      <c r="C352" s="8" t="str">
        <f t="shared" si="15"/>
        <v>B駐車場（渋谷南）</v>
      </c>
      <c r="D352" s="8">
        <f>実績データ!F352</f>
        <v>186</v>
      </c>
      <c r="E352" s="17">
        <f>実績データ!G352</f>
        <v>223792</v>
      </c>
      <c r="F352" s="18">
        <f>実績データ!H352</f>
        <v>0.75612892379955632</v>
      </c>
      <c r="G352" s="8">
        <f>実績データ!I352</f>
        <v>75</v>
      </c>
      <c r="H352" s="8" t="str">
        <f t="shared" si="16"/>
        <v>2026-03</v>
      </c>
      <c r="I352" s="8" t="str">
        <f t="shared" si="17"/>
        <v>火</v>
      </c>
    </row>
    <row r="353" spans="1:9" x14ac:dyDescent="0.15">
      <c r="A353" s="16">
        <f>実績データ!A353</f>
        <v>46099</v>
      </c>
      <c r="B353" s="8" t="str">
        <f>実績データ!C353</f>
        <v xml:space="preserve">B駐車場（渋谷南） </v>
      </c>
      <c r="C353" s="8" t="str">
        <f t="shared" si="15"/>
        <v>B駐車場（渋谷南）</v>
      </c>
      <c r="D353" s="8">
        <f>実績データ!F353</f>
        <v>189</v>
      </c>
      <c r="E353" s="17">
        <f>実績データ!G353</f>
        <v>209960</v>
      </c>
      <c r="F353" s="18">
        <f>実績データ!H353</f>
        <v>0.72504567218424043</v>
      </c>
      <c r="G353" s="8">
        <f>実績データ!I353</f>
        <v>74</v>
      </c>
      <c r="H353" s="8" t="str">
        <f t="shared" si="16"/>
        <v>2026-03</v>
      </c>
      <c r="I353" s="8" t="str">
        <f t="shared" si="17"/>
        <v>水</v>
      </c>
    </row>
    <row r="354" spans="1:9" x14ac:dyDescent="0.15">
      <c r="A354" s="16">
        <f>実績データ!A354</f>
        <v>46100</v>
      </c>
      <c r="B354" s="8" t="str">
        <f>実績データ!C354</f>
        <v xml:space="preserve"> C駐車場（池袋西口）</v>
      </c>
      <c r="C354" s="8" t="str">
        <f t="shared" si="15"/>
        <v>C駐車場（池袋西口）</v>
      </c>
      <c r="D354" s="8">
        <f>実績データ!F354</f>
        <v>125</v>
      </c>
      <c r="E354" s="17">
        <f>実績データ!G354</f>
        <v>147350</v>
      </c>
      <c r="F354" s="18">
        <f>実績データ!H354</f>
        <v>0.52935585833033827</v>
      </c>
      <c r="G354" s="8">
        <f>実績データ!I354</f>
        <v>66</v>
      </c>
      <c r="H354" s="8" t="str">
        <f t="shared" si="16"/>
        <v>2026-03</v>
      </c>
      <c r="I354" s="8" t="str">
        <f t="shared" si="17"/>
        <v>木</v>
      </c>
    </row>
    <row r="355" spans="1:9" x14ac:dyDescent="0.15">
      <c r="A355" s="16">
        <f>実績データ!A355</f>
        <v>46101</v>
      </c>
      <c r="B355" s="8" t="str">
        <f>実績データ!C355</f>
        <v>A駐車場 (新宿駅前)</v>
      </c>
      <c r="C355" s="8" t="str">
        <f t="shared" si="15"/>
        <v>A駐車場（新宿駅前）</v>
      </c>
      <c r="D355" s="8">
        <f>実績データ!F355</f>
        <v>172</v>
      </c>
      <c r="E355" s="17">
        <f>実績データ!G355</f>
        <v>209878</v>
      </c>
      <c r="F355" s="18">
        <f>実績データ!H355</f>
        <v>0.64343627202815612</v>
      </c>
      <c r="G355" s="8">
        <f>実績データ!I355</f>
        <v>76</v>
      </c>
      <c r="H355" s="8" t="str">
        <f t="shared" si="16"/>
        <v>2026-03</v>
      </c>
      <c r="I355" s="8" t="str">
        <f t="shared" si="17"/>
        <v>金</v>
      </c>
    </row>
    <row r="356" spans="1:9" x14ac:dyDescent="0.15">
      <c r="A356" s="16">
        <f>実績データ!A356</f>
        <v>46102</v>
      </c>
      <c r="B356" s="8" t="str">
        <f>実績データ!C356</f>
        <v xml:space="preserve">B駐車場（渋谷南） </v>
      </c>
      <c r="C356" s="8" t="str">
        <f t="shared" si="15"/>
        <v>B駐車場（渋谷南）</v>
      </c>
      <c r="D356" s="8">
        <f>実績データ!F356</f>
        <v>205</v>
      </c>
      <c r="E356" s="17">
        <f>実績データ!G356</f>
        <v>253340</v>
      </c>
      <c r="F356" s="18">
        <f>実績データ!H356</f>
        <v>0.79193476873771662</v>
      </c>
      <c r="G356" s="8">
        <f>実績データ!I356</f>
        <v>77</v>
      </c>
      <c r="H356" s="8" t="str">
        <f t="shared" si="16"/>
        <v>2026-03</v>
      </c>
      <c r="I356" s="8" t="str">
        <f t="shared" si="17"/>
        <v>土</v>
      </c>
    </row>
    <row r="357" spans="1:9" x14ac:dyDescent="0.15">
      <c r="A357" s="16">
        <f>実績データ!A357</f>
        <v>46103</v>
      </c>
      <c r="B357" s="8" t="str">
        <f>実績データ!C357</f>
        <v>D駐車場（横浜元町）</v>
      </c>
      <c r="C357" s="8" t="str">
        <f t="shared" si="15"/>
        <v>D駐車場（横浜元町）</v>
      </c>
      <c r="D357" s="8">
        <f>実績データ!F357</f>
        <v>154</v>
      </c>
      <c r="E357" s="17">
        <f>実績データ!G357</f>
        <v>176558</v>
      </c>
      <c r="F357" s="18">
        <f>実績データ!H357</f>
        <v>0.60140963370730049</v>
      </c>
      <c r="G357" s="8">
        <f>実績データ!I357</f>
        <v>69</v>
      </c>
      <c r="H357" s="8" t="str">
        <f t="shared" si="16"/>
        <v>2026-03</v>
      </c>
      <c r="I357" s="8" t="str">
        <f t="shared" si="17"/>
        <v>日</v>
      </c>
    </row>
    <row r="358" spans="1:9" x14ac:dyDescent="0.15">
      <c r="A358" s="16">
        <f>実績データ!A358</f>
        <v>46104</v>
      </c>
      <c r="B358" s="8" t="str">
        <f>実績データ!C358</f>
        <v>B駐車場（渋谷南）</v>
      </c>
      <c r="C358" s="8" t="str">
        <f t="shared" si="15"/>
        <v>B駐車場（渋谷南）</v>
      </c>
      <c r="D358" s="8">
        <f>実績データ!F358</f>
        <v>165</v>
      </c>
      <c r="E358" s="17">
        <f>実績データ!G358</f>
        <v>214220</v>
      </c>
      <c r="F358" s="18">
        <f>実績データ!H358</f>
        <v>0.6327383619013538</v>
      </c>
      <c r="G358" s="8">
        <f>実績データ!I358</f>
        <v>81</v>
      </c>
      <c r="H358" s="8" t="str">
        <f t="shared" si="16"/>
        <v>2026-03</v>
      </c>
      <c r="I358" s="8" t="str">
        <f t="shared" si="17"/>
        <v>月</v>
      </c>
    </row>
    <row r="359" spans="1:9" x14ac:dyDescent="0.15">
      <c r="A359" s="16">
        <f>実績データ!A359</f>
        <v>46105</v>
      </c>
      <c r="B359" s="8" t="str">
        <f>実績データ!C359</f>
        <v xml:space="preserve">B駐車場（渋谷南） </v>
      </c>
      <c r="C359" s="8" t="str">
        <f t="shared" si="15"/>
        <v>B駐車場（渋谷南）</v>
      </c>
      <c r="D359" s="8">
        <f>実績データ!F359</f>
        <v>193</v>
      </c>
      <c r="E359" s="17">
        <f>実績データ!G359</f>
        <v>253567</v>
      </c>
      <c r="F359" s="18">
        <f>実績データ!H359</f>
        <v>0.77627287969926495</v>
      </c>
      <c r="G359" s="8">
        <f>実績データ!I359</f>
        <v>80</v>
      </c>
      <c r="H359" s="8" t="str">
        <f t="shared" si="16"/>
        <v>2026-03</v>
      </c>
      <c r="I359" s="8" t="str">
        <f t="shared" si="17"/>
        <v>火</v>
      </c>
    </row>
    <row r="360" spans="1:9" x14ac:dyDescent="0.15">
      <c r="A360" s="16">
        <f>実績データ!A360</f>
        <v>46106</v>
      </c>
      <c r="B360" s="8" t="str">
        <f>実績データ!C360</f>
        <v>C駐車場 (池袋西口)</v>
      </c>
      <c r="C360" s="8" t="str">
        <f t="shared" si="15"/>
        <v>C駐車場（池袋西口）</v>
      </c>
      <c r="D360" s="8">
        <f>実績データ!F360</f>
        <v>156</v>
      </c>
      <c r="E360" s="17">
        <f>実績データ!G360</f>
        <v>192487</v>
      </c>
      <c r="F360" s="18">
        <f>実績データ!H360</f>
        <v>0.58024985689596675</v>
      </c>
      <c r="G360" s="8">
        <f>実績データ!I360</f>
        <v>72</v>
      </c>
      <c r="H360" s="8" t="str">
        <f t="shared" si="16"/>
        <v>2026-03</v>
      </c>
      <c r="I360" s="8" t="str">
        <f t="shared" si="17"/>
        <v>水</v>
      </c>
    </row>
    <row r="361" spans="1:9" x14ac:dyDescent="0.15">
      <c r="A361" s="16">
        <f>実績データ!A361</f>
        <v>46107</v>
      </c>
      <c r="B361" s="8" t="str">
        <f>実績データ!C361</f>
        <v>D駐車場（横浜元町）</v>
      </c>
      <c r="C361" s="8" t="str">
        <f t="shared" si="15"/>
        <v>D駐車場（横浜元町）</v>
      </c>
      <c r="D361" s="8">
        <f>実績データ!F361</f>
        <v>101</v>
      </c>
      <c r="E361" s="17">
        <f>実績データ!G361</f>
        <v>141782</v>
      </c>
      <c r="F361" s="18">
        <f>実績データ!H361</f>
        <v>0.44898849316302408</v>
      </c>
      <c r="G361" s="8">
        <f>実績データ!I361</f>
        <v>69</v>
      </c>
      <c r="H361" s="8" t="str">
        <f t="shared" si="16"/>
        <v>2026-03</v>
      </c>
      <c r="I361" s="8" t="str">
        <f t="shared" si="17"/>
        <v>木</v>
      </c>
    </row>
    <row r="362" spans="1:9" x14ac:dyDescent="0.15">
      <c r="A362" s="16">
        <f>実績データ!A362</f>
        <v>46108</v>
      </c>
      <c r="B362" s="8" t="str">
        <f>実績データ!C362</f>
        <v xml:space="preserve">D駐車場（横浜元町） </v>
      </c>
      <c r="C362" s="8" t="str">
        <f t="shared" si="15"/>
        <v>D駐車場（横浜元町）</v>
      </c>
      <c r="D362" s="8">
        <f>実績データ!F362</f>
        <v>156</v>
      </c>
      <c r="E362" s="17">
        <f>実績データ!G362</f>
        <v>184763</v>
      </c>
      <c r="F362" s="18">
        <f>実績データ!H362</f>
        <v>0.5646458232903433</v>
      </c>
      <c r="G362" s="8">
        <f>実績データ!I362</f>
        <v>60</v>
      </c>
      <c r="H362" s="8" t="str">
        <f t="shared" si="16"/>
        <v>2026-03</v>
      </c>
      <c r="I362" s="8" t="str">
        <f t="shared" si="17"/>
        <v>金</v>
      </c>
    </row>
    <row r="363" spans="1:9" x14ac:dyDescent="0.15">
      <c r="A363" s="16">
        <f>実績データ!A363</f>
        <v>46109</v>
      </c>
      <c r="B363" s="8" t="str">
        <f>実績データ!C363</f>
        <v xml:space="preserve">D駐車場（横浜元町） </v>
      </c>
      <c r="C363" s="8" t="str">
        <f t="shared" si="15"/>
        <v>D駐車場（横浜元町）</v>
      </c>
      <c r="D363" s="8">
        <f>実績データ!F363</f>
        <v>162</v>
      </c>
      <c r="E363" s="17">
        <f>実績データ!G363</f>
        <v>173820</v>
      </c>
      <c r="F363" s="18">
        <f>実績データ!H363</f>
        <v>0.65722539051111739</v>
      </c>
      <c r="G363" s="8">
        <f>実績データ!I363</f>
        <v>75</v>
      </c>
      <c r="H363" s="8" t="str">
        <f t="shared" si="16"/>
        <v>2026-03</v>
      </c>
      <c r="I363" s="8" t="str">
        <f t="shared" si="17"/>
        <v>土</v>
      </c>
    </row>
    <row r="364" spans="1:9" x14ac:dyDescent="0.15">
      <c r="A364" s="16">
        <f>実績データ!A364</f>
        <v>46110</v>
      </c>
      <c r="B364" s="8" t="str">
        <f>実績データ!C364</f>
        <v>A駐車場 (新宿駅前)</v>
      </c>
      <c r="C364" s="8" t="str">
        <f t="shared" si="15"/>
        <v>A駐車場（新宿駅前）</v>
      </c>
      <c r="D364" s="8">
        <f>実績データ!F364</f>
        <v>221</v>
      </c>
      <c r="E364" s="17">
        <f>実績データ!G364</f>
        <v>268478</v>
      </c>
      <c r="F364" s="18">
        <f>実績データ!H364</f>
        <v>0.84804614672540402</v>
      </c>
      <c r="G364" s="8">
        <f>実績データ!I364</f>
        <v>74</v>
      </c>
      <c r="H364" s="8" t="str">
        <f t="shared" si="16"/>
        <v>2026-03</v>
      </c>
      <c r="I364" s="8" t="str">
        <f t="shared" si="17"/>
        <v>日</v>
      </c>
    </row>
    <row r="365" spans="1:9" x14ac:dyDescent="0.15">
      <c r="A365" s="16">
        <f>実績データ!A365</f>
        <v>46111</v>
      </c>
      <c r="B365" s="8" t="str">
        <f>実績データ!C365</f>
        <v>C駐車場（池袋西口）</v>
      </c>
      <c r="C365" s="8" t="str">
        <f t="shared" si="15"/>
        <v>C駐車場（池袋西口）</v>
      </c>
      <c r="D365" s="8">
        <f>実績データ!F365</f>
        <v>111</v>
      </c>
      <c r="E365" s="17">
        <f>実績データ!G365</f>
        <v>137230</v>
      </c>
      <c r="F365" s="18">
        <f>実績データ!H365</f>
        <v>0.39062514001454002</v>
      </c>
      <c r="G365" s="8">
        <f>実績データ!I365</f>
        <v>63</v>
      </c>
      <c r="H365" s="8" t="str">
        <f t="shared" si="16"/>
        <v>2026-03</v>
      </c>
      <c r="I365" s="8" t="str">
        <f t="shared" si="17"/>
        <v>月</v>
      </c>
    </row>
    <row r="366" spans="1:9" x14ac:dyDescent="0.15">
      <c r="A366" s="16">
        <f>実績データ!A366</f>
        <v>46112</v>
      </c>
      <c r="B366" s="8" t="str">
        <f>実績データ!C366</f>
        <v>D駐車場 (横浜元町)</v>
      </c>
      <c r="C366" s="8" t="str">
        <f t="shared" si="15"/>
        <v>D駐車場（横浜元町）</v>
      </c>
      <c r="D366" s="8">
        <f>実績データ!F366</f>
        <v>129</v>
      </c>
      <c r="E366" s="17">
        <f>実績データ!G366</f>
        <v>145515</v>
      </c>
      <c r="F366" s="18">
        <f>実績データ!H366</f>
        <v>0.4784763727956769</v>
      </c>
      <c r="G366" s="8">
        <f>実績データ!I366</f>
        <v>85</v>
      </c>
      <c r="H366" s="8" t="str">
        <f t="shared" si="16"/>
        <v>2026-03</v>
      </c>
      <c r="I366" s="8" t="str">
        <f t="shared" si="17"/>
        <v>火</v>
      </c>
    </row>
    <row r="367" spans="1:9" x14ac:dyDescent="0.15">
      <c r="A367" s="16">
        <f>実績データ!A367</f>
        <v>46113</v>
      </c>
      <c r="B367" s="8" t="str">
        <f>実績データ!C367</f>
        <v>C駐車場（池袋西口）</v>
      </c>
      <c r="C367" s="8" t="str">
        <f t="shared" si="15"/>
        <v>C駐車場（池袋西口）</v>
      </c>
      <c r="D367" s="8">
        <f>実績データ!F367</f>
        <v>127</v>
      </c>
      <c r="E367" s="17">
        <f>実績データ!G367</f>
        <v>153690</v>
      </c>
      <c r="F367" s="18">
        <f>実績データ!H367</f>
        <v>0.50621640440108107</v>
      </c>
      <c r="G367" s="8">
        <f>実績データ!I367</f>
        <v>66</v>
      </c>
      <c r="H367" s="8" t="str">
        <f t="shared" si="16"/>
        <v>2026-04</v>
      </c>
      <c r="I367" s="8" t="str">
        <f t="shared" si="17"/>
        <v>水</v>
      </c>
    </row>
    <row r="368" spans="1:9" x14ac:dyDescent="0.15">
      <c r="A368" s="16">
        <f>実績データ!A368</f>
        <v>46114</v>
      </c>
      <c r="B368" s="8" t="str">
        <f>実績データ!C368</f>
        <v xml:space="preserve">B駐車場（渋谷南） </v>
      </c>
      <c r="C368" s="8" t="str">
        <f t="shared" si="15"/>
        <v>B駐車場（渋谷南）</v>
      </c>
      <c r="D368" s="8">
        <f>実績データ!F368</f>
        <v>175</v>
      </c>
      <c r="E368" s="17">
        <f>実績データ!G368</f>
        <v>220246</v>
      </c>
      <c r="F368" s="18">
        <f>実績データ!H368</f>
        <v>0.69700447409084199</v>
      </c>
      <c r="G368" s="8">
        <f>実績データ!I368</f>
        <v>83</v>
      </c>
      <c r="H368" s="8" t="str">
        <f t="shared" si="16"/>
        <v>2026-04</v>
      </c>
      <c r="I368" s="8" t="str">
        <f t="shared" si="17"/>
        <v>木</v>
      </c>
    </row>
    <row r="369" spans="1:9" x14ac:dyDescent="0.15">
      <c r="A369" s="16">
        <f>実績データ!A369</f>
        <v>46115</v>
      </c>
      <c r="B369" s="8" t="str">
        <f>実績データ!C369</f>
        <v>D駐車場（横浜元町）</v>
      </c>
      <c r="C369" s="8" t="str">
        <f t="shared" si="15"/>
        <v>D駐車場（横浜元町）</v>
      </c>
      <c r="D369" s="8">
        <f>実績データ!F369</f>
        <v>133</v>
      </c>
      <c r="E369" s="17">
        <f>実績データ!G369</f>
        <v>161648</v>
      </c>
      <c r="F369" s="18">
        <f>実績データ!H369</f>
        <v>0.54075634245859294</v>
      </c>
      <c r="G369" s="8">
        <f>実績データ!I369</f>
        <v>80</v>
      </c>
      <c r="H369" s="8" t="str">
        <f t="shared" si="16"/>
        <v>2026-04</v>
      </c>
      <c r="I369" s="8" t="str">
        <f t="shared" si="17"/>
        <v>金</v>
      </c>
    </row>
    <row r="370" spans="1:9" x14ac:dyDescent="0.15">
      <c r="A370" s="16">
        <f>実績データ!A370</f>
        <v>46116</v>
      </c>
      <c r="B370" s="8" t="str">
        <f>実績データ!C370</f>
        <v xml:space="preserve">B駐車場（渋谷南） </v>
      </c>
      <c r="C370" s="8" t="str">
        <f t="shared" si="15"/>
        <v>B駐車場（渋谷南）</v>
      </c>
      <c r="D370" s="8">
        <f>実績データ!F370</f>
        <v>217</v>
      </c>
      <c r="E370" s="17">
        <f>実績データ!G370</f>
        <v>273995</v>
      </c>
      <c r="F370" s="18">
        <f>実績データ!H370</f>
        <v>0.80871086145297977</v>
      </c>
      <c r="G370" s="8">
        <f>実績データ!I370</f>
        <v>85</v>
      </c>
      <c r="H370" s="8" t="str">
        <f t="shared" si="16"/>
        <v>2026-04</v>
      </c>
      <c r="I370" s="8" t="str">
        <f t="shared" si="17"/>
        <v>土</v>
      </c>
    </row>
    <row r="371" spans="1:9" x14ac:dyDescent="0.15">
      <c r="A371" s="16">
        <f>実績データ!A371</f>
        <v>46117</v>
      </c>
      <c r="B371" s="8" t="str">
        <f>実績データ!C371</f>
        <v xml:space="preserve"> A駐車場（新宿駅前）</v>
      </c>
      <c r="C371" s="8" t="str">
        <f t="shared" si="15"/>
        <v>A駐車場（新宿駅前）</v>
      </c>
      <c r="D371" s="8">
        <f>実績データ!F371</f>
        <v>245</v>
      </c>
      <c r="E371" s="17">
        <f>実績データ!G371</f>
        <v>291913</v>
      </c>
      <c r="F371" s="18">
        <f>実績データ!H371</f>
        <v>0.90077554042371621</v>
      </c>
      <c r="G371" s="8">
        <f>実績データ!I371</f>
        <v>68</v>
      </c>
      <c r="H371" s="8" t="str">
        <f t="shared" si="16"/>
        <v>2026-04</v>
      </c>
      <c r="I371" s="8" t="str">
        <f t="shared" si="17"/>
        <v>日</v>
      </c>
    </row>
    <row r="372" spans="1:9" x14ac:dyDescent="0.15">
      <c r="A372" s="16">
        <f>実績データ!A372</f>
        <v>46118</v>
      </c>
      <c r="B372" s="8" t="str">
        <f>実績データ!C372</f>
        <v xml:space="preserve">B駐車場（渋谷南） </v>
      </c>
      <c r="C372" s="8" t="str">
        <f t="shared" si="15"/>
        <v>B駐車場（渋谷南）</v>
      </c>
      <c r="D372" s="8">
        <f>実績データ!F372</f>
        <v>194</v>
      </c>
      <c r="E372" s="17">
        <f>実績データ!G372</f>
        <v>243519</v>
      </c>
      <c r="F372" s="18">
        <f>実績データ!H372</f>
        <v>0.75095121615624127</v>
      </c>
      <c r="G372" s="8">
        <f>実績データ!I372</f>
        <v>72</v>
      </c>
      <c r="H372" s="8" t="str">
        <f t="shared" si="16"/>
        <v>2026-04</v>
      </c>
      <c r="I372" s="8" t="str">
        <f t="shared" si="17"/>
        <v>月</v>
      </c>
    </row>
    <row r="373" spans="1:9" x14ac:dyDescent="0.15">
      <c r="A373" s="16">
        <f>実績データ!A373</f>
        <v>46119</v>
      </c>
      <c r="B373" s="8" t="str">
        <f>実績データ!C373</f>
        <v>A駐車場（新宿駅前）</v>
      </c>
      <c r="C373" s="8" t="str">
        <f t="shared" si="15"/>
        <v>A駐車場（新宿駅前）</v>
      </c>
      <c r="D373" s="8">
        <f>実績データ!F373</f>
        <v>183</v>
      </c>
      <c r="E373" s="17">
        <f>実績データ!G373</f>
        <v>218667</v>
      </c>
      <c r="F373" s="18">
        <f>実績データ!H373</f>
        <v>0.70666886021350028</v>
      </c>
      <c r="G373" s="8">
        <f>実績データ!I373</f>
        <v>70</v>
      </c>
      <c r="H373" s="8" t="str">
        <f t="shared" si="16"/>
        <v>2026-04</v>
      </c>
      <c r="I373" s="8" t="str">
        <f t="shared" si="17"/>
        <v>火</v>
      </c>
    </row>
    <row r="374" spans="1:9" x14ac:dyDescent="0.15">
      <c r="A374" s="16">
        <f>実績データ!A374</f>
        <v>46120</v>
      </c>
      <c r="B374" s="8" t="str">
        <f>実績データ!C374</f>
        <v>B駐車場（渋谷南）</v>
      </c>
      <c r="C374" s="8" t="str">
        <f t="shared" si="15"/>
        <v>B駐車場（渋谷南）</v>
      </c>
      <c r="D374" s="8">
        <f>実績データ!F374</f>
        <v>219</v>
      </c>
      <c r="E374" s="17">
        <f>実績データ!G374</f>
        <v>284268</v>
      </c>
      <c r="F374" s="18">
        <f>実績データ!H374</f>
        <v>0.84877886961928262</v>
      </c>
      <c r="G374" s="8">
        <f>実績データ!I374</f>
        <v>74</v>
      </c>
      <c r="H374" s="8" t="str">
        <f t="shared" si="16"/>
        <v>2026-04</v>
      </c>
      <c r="I374" s="8" t="str">
        <f t="shared" si="17"/>
        <v>水</v>
      </c>
    </row>
    <row r="375" spans="1:9" x14ac:dyDescent="0.15">
      <c r="A375" s="16">
        <f>実績データ!A375</f>
        <v>46121</v>
      </c>
      <c r="B375" s="8" t="str">
        <f>実績データ!C375</f>
        <v xml:space="preserve">D駐車場（横浜元町） </v>
      </c>
      <c r="C375" s="8" t="str">
        <f t="shared" si="15"/>
        <v>D駐車場（横浜元町）</v>
      </c>
      <c r="D375" s="8">
        <f>実績データ!F375</f>
        <v>142</v>
      </c>
      <c r="E375" s="17">
        <f>実績データ!G375</f>
        <v>155309</v>
      </c>
      <c r="F375" s="18">
        <f>実績データ!H375</f>
        <v>0.59831509006013162</v>
      </c>
      <c r="G375" s="8">
        <f>実績データ!I375</f>
        <v>72</v>
      </c>
      <c r="H375" s="8" t="str">
        <f t="shared" si="16"/>
        <v>2026-04</v>
      </c>
      <c r="I375" s="8" t="str">
        <f t="shared" si="17"/>
        <v>木</v>
      </c>
    </row>
    <row r="376" spans="1:9" x14ac:dyDescent="0.15">
      <c r="A376" s="16">
        <f>実績データ!A376</f>
        <v>46122</v>
      </c>
      <c r="B376" s="8" t="str">
        <f>実績データ!C376</f>
        <v>B駐車場 (渋谷南)</v>
      </c>
      <c r="C376" s="8" t="str">
        <f t="shared" si="15"/>
        <v>B駐車場（渋谷南）</v>
      </c>
      <c r="D376" s="8">
        <f>実績データ!F376</f>
        <v>187</v>
      </c>
      <c r="E376" s="17">
        <f>実績データ!G376</f>
        <v>244761</v>
      </c>
      <c r="F376" s="18">
        <f>実績データ!H376</f>
        <v>0.74795566819632175</v>
      </c>
      <c r="G376" s="8">
        <f>実績データ!I376</f>
        <v>86</v>
      </c>
      <c r="H376" s="8" t="str">
        <f t="shared" si="16"/>
        <v>2026-04</v>
      </c>
      <c r="I376" s="8" t="str">
        <f t="shared" si="17"/>
        <v>金</v>
      </c>
    </row>
    <row r="377" spans="1:9" x14ac:dyDescent="0.15">
      <c r="A377" s="16">
        <f>実績データ!A377</f>
        <v>46123</v>
      </c>
      <c r="B377" s="8" t="str">
        <f>実績データ!C377</f>
        <v xml:space="preserve">D駐車場（横浜元町） </v>
      </c>
      <c r="C377" s="8" t="str">
        <f t="shared" si="15"/>
        <v>D駐車場（横浜元町）</v>
      </c>
      <c r="D377" s="8">
        <f>実績データ!F377</f>
        <v>125</v>
      </c>
      <c r="E377" s="17">
        <f>実績データ!G377</f>
        <v>154222</v>
      </c>
      <c r="F377" s="18">
        <f>実績データ!H377</f>
        <v>0.50706942475997541</v>
      </c>
      <c r="G377" s="8">
        <f>実績データ!I377</f>
        <v>72</v>
      </c>
      <c r="H377" s="8" t="str">
        <f t="shared" si="16"/>
        <v>2026-04</v>
      </c>
      <c r="I377" s="8" t="str">
        <f t="shared" si="17"/>
        <v>土</v>
      </c>
    </row>
    <row r="378" spans="1:9" x14ac:dyDescent="0.15">
      <c r="A378" s="16">
        <f>実績データ!A378</f>
        <v>46124</v>
      </c>
      <c r="B378" s="8" t="str">
        <f>実績データ!C378</f>
        <v xml:space="preserve">B駐車場（渋谷南） </v>
      </c>
      <c r="C378" s="8" t="str">
        <f t="shared" si="15"/>
        <v>B駐車場（渋谷南）</v>
      </c>
      <c r="D378" s="8">
        <f>実績データ!F378</f>
        <v>183</v>
      </c>
      <c r="E378" s="17">
        <f>実績データ!G378</f>
        <v>211102</v>
      </c>
      <c r="F378" s="18">
        <f>実績データ!H378</f>
        <v>0.73319565384479535</v>
      </c>
      <c r="G378" s="8">
        <f>実績データ!I378</f>
        <v>54</v>
      </c>
      <c r="H378" s="8" t="str">
        <f t="shared" si="16"/>
        <v>2026-04</v>
      </c>
      <c r="I378" s="8" t="str">
        <f t="shared" si="17"/>
        <v>日</v>
      </c>
    </row>
    <row r="379" spans="1:9" x14ac:dyDescent="0.15">
      <c r="A379" s="16">
        <f>実績データ!A379</f>
        <v>46125</v>
      </c>
      <c r="B379" s="8" t="str">
        <f>実績データ!C379</f>
        <v>C駐車場 (池袋西口)</v>
      </c>
      <c r="C379" s="8" t="str">
        <f t="shared" si="15"/>
        <v>C駐車場（池袋西口）</v>
      </c>
      <c r="D379" s="8">
        <f>実績データ!F379</f>
        <v>157</v>
      </c>
      <c r="E379" s="17">
        <f>実績データ!G379</f>
        <v>179435</v>
      </c>
      <c r="F379" s="18">
        <f>実績データ!H379</f>
        <v>0.58700965735932009</v>
      </c>
      <c r="G379" s="8">
        <f>実績データ!I379</f>
        <v>71</v>
      </c>
      <c r="H379" s="8" t="str">
        <f t="shared" si="16"/>
        <v>2026-04</v>
      </c>
      <c r="I379" s="8" t="str">
        <f t="shared" si="17"/>
        <v>月</v>
      </c>
    </row>
    <row r="380" spans="1:9" x14ac:dyDescent="0.15">
      <c r="A380" s="16">
        <f>実績データ!A380</f>
        <v>46126</v>
      </c>
      <c r="B380" s="8" t="str">
        <f>実績データ!C380</f>
        <v>A駐車場 (新宿駅前)</v>
      </c>
      <c r="C380" s="8" t="str">
        <f t="shared" si="15"/>
        <v>A駐車場（新宿駅前）</v>
      </c>
      <c r="D380" s="8">
        <f>実績データ!F380</f>
        <v>220</v>
      </c>
      <c r="E380" s="17">
        <f>実績データ!G380</f>
        <v>255708</v>
      </c>
      <c r="F380" s="18">
        <f>実績データ!H380</f>
        <v>0.94702942410282009</v>
      </c>
      <c r="G380" s="8">
        <f>実績データ!I380</f>
        <v>80</v>
      </c>
      <c r="H380" s="8" t="str">
        <f t="shared" si="16"/>
        <v>2026-04</v>
      </c>
      <c r="I380" s="8" t="str">
        <f t="shared" si="17"/>
        <v>火</v>
      </c>
    </row>
    <row r="381" spans="1:9" x14ac:dyDescent="0.15">
      <c r="A381" s="16">
        <f>実績データ!A381</f>
        <v>46127</v>
      </c>
      <c r="B381" s="8" t="str">
        <f>実績データ!C381</f>
        <v>B駐車場（渋谷南）</v>
      </c>
      <c r="C381" s="8" t="str">
        <f t="shared" si="15"/>
        <v>B駐車場（渋谷南）</v>
      </c>
      <c r="D381" s="8">
        <f>実績データ!F381</f>
        <v>211</v>
      </c>
      <c r="E381" s="17">
        <f>実績データ!G381</f>
        <v>271968</v>
      </c>
      <c r="F381" s="18">
        <f>実績データ!H381</f>
        <v>0.80485993950400958</v>
      </c>
      <c r="G381" s="8">
        <f>実績データ!I381</f>
        <v>92</v>
      </c>
      <c r="H381" s="8" t="str">
        <f t="shared" si="16"/>
        <v>2026-04</v>
      </c>
      <c r="I381" s="8" t="str">
        <f t="shared" si="17"/>
        <v>水</v>
      </c>
    </row>
    <row r="382" spans="1:9" x14ac:dyDescent="0.15">
      <c r="A382" s="16">
        <f>実績データ!A382</f>
        <v>46128</v>
      </c>
      <c r="B382" s="8" t="str">
        <f>実績データ!C382</f>
        <v>C駐車場 (池袋西口)</v>
      </c>
      <c r="C382" s="8" t="str">
        <f t="shared" si="15"/>
        <v>C駐車場（池袋西口）</v>
      </c>
      <c r="D382" s="8">
        <f>実績データ!F382</f>
        <v>190</v>
      </c>
      <c r="E382" s="17">
        <f>実績データ!G382</f>
        <v>211420</v>
      </c>
      <c r="F382" s="18">
        <f>実績データ!H382</f>
        <v>0.74262877518348014</v>
      </c>
      <c r="G382" s="8">
        <f>実績データ!I382</f>
        <v>73</v>
      </c>
      <c r="H382" s="8" t="str">
        <f t="shared" si="16"/>
        <v>2026-04</v>
      </c>
      <c r="I382" s="8" t="str">
        <f t="shared" si="17"/>
        <v>木</v>
      </c>
    </row>
    <row r="383" spans="1:9" x14ac:dyDescent="0.15">
      <c r="A383" s="16">
        <f>実績データ!A383</f>
        <v>46129</v>
      </c>
      <c r="B383" s="8" t="str">
        <f>実績データ!C383</f>
        <v xml:space="preserve"> A駐車場（新宿駅前）</v>
      </c>
      <c r="C383" s="8" t="str">
        <f t="shared" si="15"/>
        <v>A駐車場（新宿駅前）</v>
      </c>
      <c r="D383" s="8">
        <f>実績データ!F383</f>
        <v>190</v>
      </c>
      <c r="E383" s="17">
        <f>実績データ!G383</f>
        <v>221102</v>
      </c>
      <c r="F383" s="18">
        <f>実績データ!H383</f>
        <v>0.71311551820083086</v>
      </c>
      <c r="G383" s="8">
        <f>実績データ!I383</f>
        <v>70</v>
      </c>
      <c r="H383" s="8" t="str">
        <f t="shared" si="16"/>
        <v>2026-04</v>
      </c>
      <c r="I383" s="8" t="str">
        <f t="shared" si="17"/>
        <v>金</v>
      </c>
    </row>
    <row r="384" spans="1:9" x14ac:dyDescent="0.15">
      <c r="A384" s="16">
        <f>実績データ!A384</f>
        <v>46130</v>
      </c>
      <c r="B384" s="8" t="str">
        <f>実績データ!C384</f>
        <v>B駐車場（渋谷南）</v>
      </c>
      <c r="C384" s="8" t="str">
        <f t="shared" si="15"/>
        <v>B駐車場（渋谷南）</v>
      </c>
      <c r="D384" s="8">
        <f>実績データ!F384</f>
        <v>196</v>
      </c>
      <c r="E384" s="17">
        <f>実績データ!G384</f>
        <v>243353</v>
      </c>
      <c r="F384" s="18">
        <f>実績データ!H384</f>
        <v>0.75652629321572784</v>
      </c>
      <c r="G384" s="8">
        <f>実績データ!I384</f>
        <v>83</v>
      </c>
      <c r="H384" s="8" t="str">
        <f t="shared" si="16"/>
        <v>2026-04</v>
      </c>
      <c r="I384" s="8" t="str">
        <f t="shared" si="17"/>
        <v>土</v>
      </c>
    </row>
    <row r="385" spans="1:9" x14ac:dyDescent="0.15">
      <c r="A385" s="16">
        <f>実績データ!A385</f>
        <v>46131</v>
      </c>
      <c r="B385" s="8" t="str">
        <f>実績データ!C385</f>
        <v>B駐車場（渋谷南）</v>
      </c>
      <c r="C385" s="8" t="str">
        <f t="shared" si="15"/>
        <v>B駐車場（渋谷南）</v>
      </c>
      <c r="D385" s="8">
        <f>実績データ!F385</f>
        <v>210</v>
      </c>
      <c r="E385" s="17">
        <f>実績データ!G385</f>
        <v>250127</v>
      </c>
      <c r="F385" s="18">
        <f>実績データ!H385</f>
        <v>0.83543672211370479</v>
      </c>
      <c r="G385" s="8">
        <f>実績データ!I385</f>
        <v>90</v>
      </c>
      <c r="H385" s="8" t="str">
        <f t="shared" si="16"/>
        <v>2026-04</v>
      </c>
      <c r="I385" s="8" t="str">
        <f t="shared" si="17"/>
        <v>日</v>
      </c>
    </row>
    <row r="386" spans="1:9" x14ac:dyDescent="0.15">
      <c r="A386" s="16">
        <f>実績データ!A386</f>
        <v>46132</v>
      </c>
      <c r="B386" s="8" t="str">
        <f>実績データ!C386</f>
        <v>B駐車場（渋谷南）</v>
      </c>
      <c r="C386" s="8" t="str">
        <f t="shared" ref="C386:C449" si="18">SUBSTITUTE(SUBSTITUTE(SUBSTITUTE(SUBSTITUTE(B386," ",""),"　",""),"(","（"),")","）")</f>
        <v>B駐車場（渋谷南）</v>
      </c>
      <c r="D386" s="8">
        <f>実績データ!F386</f>
        <v>154</v>
      </c>
      <c r="E386" s="17">
        <f>実績データ!G386</f>
        <v>177091</v>
      </c>
      <c r="F386" s="18">
        <f>実績データ!H386</f>
        <v>0.60264089197694637</v>
      </c>
      <c r="G386" s="8">
        <f>実績データ!I386</f>
        <v>62</v>
      </c>
      <c r="H386" s="8" t="str">
        <f t="shared" ref="H386:H449" si="19">TEXT(A386,"yyyy-mm")</f>
        <v>2026-04</v>
      </c>
      <c r="I386" s="8" t="str">
        <f t="shared" ref="I386:I449" si="20">TEXT(A386,"aaa")</f>
        <v>月</v>
      </c>
    </row>
    <row r="387" spans="1:9" x14ac:dyDescent="0.15">
      <c r="A387" s="16">
        <f>実績データ!A387</f>
        <v>46133</v>
      </c>
      <c r="B387" s="8" t="str">
        <f>実績データ!C387</f>
        <v>D駐車場 (横浜元町)</v>
      </c>
      <c r="C387" s="8" t="str">
        <f t="shared" si="18"/>
        <v>D駐車場（横浜元町）</v>
      </c>
      <c r="D387" s="8">
        <f>実績データ!F387</f>
        <v>119</v>
      </c>
      <c r="E387" s="17">
        <f>実績データ!G387</f>
        <v>133636</v>
      </c>
      <c r="F387" s="18">
        <f>実績データ!H387</f>
        <v>0.41561481880081169</v>
      </c>
      <c r="G387" s="8">
        <f>実績データ!I387</f>
        <v>89</v>
      </c>
      <c r="H387" s="8" t="str">
        <f t="shared" si="19"/>
        <v>2026-04</v>
      </c>
      <c r="I387" s="8" t="str">
        <f t="shared" si="20"/>
        <v>火</v>
      </c>
    </row>
    <row r="388" spans="1:9" x14ac:dyDescent="0.15">
      <c r="A388" s="16">
        <f>実績データ!A388</f>
        <v>46134</v>
      </c>
      <c r="B388" s="8" t="str">
        <f>実績データ!C388</f>
        <v>C駐車場（池袋西口）</v>
      </c>
      <c r="C388" s="8" t="str">
        <f t="shared" si="18"/>
        <v>C駐車場（池袋西口）</v>
      </c>
      <c r="D388" s="8">
        <f>実績データ!F388</f>
        <v>160</v>
      </c>
      <c r="E388" s="17">
        <f>実績データ!G388</f>
        <v>218476</v>
      </c>
      <c r="F388" s="18">
        <f>実績データ!H388</f>
        <v>0.58744335085162158</v>
      </c>
      <c r="G388" s="8">
        <f>実績データ!I388</f>
        <v>50</v>
      </c>
      <c r="H388" s="8" t="str">
        <f t="shared" si="19"/>
        <v>2026-04</v>
      </c>
      <c r="I388" s="8" t="str">
        <f t="shared" si="20"/>
        <v>水</v>
      </c>
    </row>
    <row r="389" spans="1:9" x14ac:dyDescent="0.15">
      <c r="A389" s="16">
        <f>実績データ!A389</f>
        <v>46135</v>
      </c>
      <c r="B389" s="8" t="str">
        <f>実績データ!C389</f>
        <v>D駐車場 (横浜元町)</v>
      </c>
      <c r="C389" s="8" t="str">
        <f t="shared" si="18"/>
        <v>D駐車場（横浜元町）</v>
      </c>
      <c r="D389" s="8">
        <f>実績データ!F389</f>
        <v>123</v>
      </c>
      <c r="E389" s="17">
        <f>実績データ!G389</f>
        <v>161082</v>
      </c>
      <c r="F389" s="18">
        <f>実績データ!H389</f>
        <v>0.51246564042780662</v>
      </c>
      <c r="G389" s="8">
        <f>実績データ!I389</f>
        <v>79</v>
      </c>
      <c r="H389" s="8" t="str">
        <f t="shared" si="19"/>
        <v>2026-04</v>
      </c>
      <c r="I389" s="8" t="str">
        <f t="shared" si="20"/>
        <v>木</v>
      </c>
    </row>
    <row r="390" spans="1:9" x14ac:dyDescent="0.15">
      <c r="A390" s="16">
        <f>実績データ!A390</f>
        <v>46136</v>
      </c>
      <c r="B390" s="8" t="str">
        <f>実績データ!C390</f>
        <v xml:space="preserve">B駐車場（渋谷南） </v>
      </c>
      <c r="C390" s="8" t="str">
        <f t="shared" si="18"/>
        <v>B駐車場（渋谷南）</v>
      </c>
      <c r="D390" s="8">
        <f>実績データ!F390</f>
        <v>156</v>
      </c>
      <c r="E390" s="17">
        <f>実績データ!G390</f>
        <v>177219</v>
      </c>
      <c r="F390" s="18">
        <f>実績データ!H390</f>
        <v>0.62421660483843799</v>
      </c>
      <c r="G390" s="8">
        <f>実績データ!I390</f>
        <v>76</v>
      </c>
      <c r="H390" s="8" t="str">
        <f t="shared" si="19"/>
        <v>2026-04</v>
      </c>
      <c r="I390" s="8" t="str">
        <f t="shared" si="20"/>
        <v>金</v>
      </c>
    </row>
    <row r="391" spans="1:9" x14ac:dyDescent="0.15">
      <c r="A391" s="16">
        <f>実績データ!A391</f>
        <v>46137</v>
      </c>
      <c r="B391" s="8" t="str">
        <f>実績データ!C391</f>
        <v>C駐車場 (池袋西口)</v>
      </c>
      <c r="C391" s="8" t="str">
        <f t="shared" si="18"/>
        <v>C駐車場（池袋西口）</v>
      </c>
      <c r="D391" s="8">
        <f>実績データ!F391</f>
        <v>149</v>
      </c>
      <c r="E391" s="17">
        <f>実績データ!G391</f>
        <v>168466</v>
      </c>
      <c r="F391" s="18">
        <f>実績データ!H391</f>
        <v>0.5941667982003882</v>
      </c>
      <c r="G391" s="8">
        <f>実績データ!I391</f>
        <v>67</v>
      </c>
      <c r="H391" s="8" t="str">
        <f t="shared" si="19"/>
        <v>2026-04</v>
      </c>
      <c r="I391" s="8" t="str">
        <f t="shared" si="20"/>
        <v>土</v>
      </c>
    </row>
    <row r="392" spans="1:9" x14ac:dyDescent="0.15">
      <c r="A392" s="16">
        <f>実績データ!A392</f>
        <v>46138</v>
      </c>
      <c r="B392" s="8" t="str">
        <f>実績データ!C392</f>
        <v>D駐車場 (横浜元町)</v>
      </c>
      <c r="C392" s="8" t="str">
        <f t="shared" si="18"/>
        <v>D駐車場（横浜元町）</v>
      </c>
      <c r="D392" s="8">
        <f>実績データ!F392</f>
        <v>156</v>
      </c>
      <c r="E392" s="17">
        <f>実績データ!G392</f>
        <v>183108</v>
      </c>
      <c r="F392" s="18">
        <f>実績データ!H392</f>
        <v>0.58863603441709933</v>
      </c>
      <c r="G392" s="8">
        <f>実績データ!I392</f>
        <v>63</v>
      </c>
      <c r="H392" s="8" t="str">
        <f t="shared" si="19"/>
        <v>2026-04</v>
      </c>
      <c r="I392" s="8" t="str">
        <f t="shared" si="20"/>
        <v>日</v>
      </c>
    </row>
    <row r="393" spans="1:9" x14ac:dyDescent="0.15">
      <c r="A393" s="16">
        <f>実績データ!A393</f>
        <v>46139</v>
      </c>
      <c r="B393" s="8" t="str">
        <f>実績データ!C393</f>
        <v xml:space="preserve"> A駐車場（新宿駅前）</v>
      </c>
      <c r="C393" s="8" t="str">
        <f t="shared" si="18"/>
        <v>A駐車場（新宿駅前）</v>
      </c>
      <c r="D393" s="8">
        <f>実績データ!F393</f>
        <v>171</v>
      </c>
      <c r="E393" s="17">
        <f>実績データ!G393</f>
        <v>221422</v>
      </c>
      <c r="F393" s="18">
        <f>実績データ!H393</f>
        <v>0.72905424497508853</v>
      </c>
      <c r="G393" s="8">
        <f>実績データ!I393</f>
        <v>68</v>
      </c>
      <c r="H393" s="8" t="str">
        <f t="shared" si="19"/>
        <v>2026-04</v>
      </c>
      <c r="I393" s="8" t="str">
        <f t="shared" si="20"/>
        <v>月</v>
      </c>
    </row>
    <row r="394" spans="1:9" x14ac:dyDescent="0.15">
      <c r="A394" s="16">
        <f>実績データ!A394</f>
        <v>46140</v>
      </c>
      <c r="B394" s="8" t="str">
        <f>実績データ!C394</f>
        <v>D駐車場（横浜元町）</v>
      </c>
      <c r="C394" s="8" t="str">
        <f t="shared" si="18"/>
        <v>D駐車場（横浜元町）</v>
      </c>
      <c r="D394" s="8">
        <f>実績データ!F394</f>
        <v>149</v>
      </c>
      <c r="E394" s="17">
        <f>実績データ!G394</f>
        <v>182489</v>
      </c>
      <c r="F394" s="18">
        <f>実績データ!H394</f>
        <v>0.60643218282336442</v>
      </c>
      <c r="G394" s="8">
        <f>実績データ!I394</f>
        <v>61</v>
      </c>
      <c r="H394" s="8" t="str">
        <f t="shared" si="19"/>
        <v>2026-04</v>
      </c>
      <c r="I394" s="8" t="str">
        <f t="shared" si="20"/>
        <v>火</v>
      </c>
    </row>
    <row r="395" spans="1:9" x14ac:dyDescent="0.15">
      <c r="A395" s="16">
        <f>実績データ!A395</f>
        <v>46141</v>
      </c>
      <c r="B395" s="8" t="str">
        <f>実績データ!C395</f>
        <v>A駐車場（新宿駅前）</v>
      </c>
      <c r="C395" s="8" t="str">
        <f t="shared" si="18"/>
        <v>A駐車場（新宿駅前）</v>
      </c>
      <c r="D395" s="8">
        <f>実績データ!F395</f>
        <v>195</v>
      </c>
      <c r="E395" s="17">
        <f>実績データ!G395</f>
        <v>234919</v>
      </c>
      <c r="F395" s="18">
        <f>実績データ!H395</f>
        <v>0.77701308033265981</v>
      </c>
      <c r="G395" s="8">
        <f>実績データ!I395</f>
        <v>72</v>
      </c>
      <c r="H395" s="8" t="str">
        <f t="shared" si="19"/>
        <v>2026-04</v>
      </c>
      <c r="I395" s="8" t="str">
        <f t="shared" si="20"/>
        <v>水</v>
      </c>
    </row>
    <row r="396" spans="1:9" x14ac:dyDescent="0.15">
      <c r="A396" s="16">
        <f>実績データ!A396</f>
        <v>46142</v>
      </c>
      <c r="B396" s="8" t="str">
        <f>実績データ!C396</f>
        <v xml:space="preserve">B駐車場（渋谷南） </v>
      </c>
      <c r="C396" s="8" t="str">
        <f t="shared" si="18"/>
        <v>B駐車場（渋谷南）</v>
      </c>
      <c r="D396" s="8">
        <f>実績データ!F396</f>
        <v>196</v>
      </c>
      <c r="E396" s="17">
        <f>実績データ!G396</f>
        <v>238438</v>
      </c>
      <c r="F396" s="18">
        <f>実績データ!H396</f>
        <v>0.82822684812153213</v>
      </c>
      <c r="G396" s="8">
        <f>実績データ!I396</f>
        <v>86</v>
      </c>
      <c r="H396" s="8" t="str">
        <f t="shared" si="19"/>
        <v>2026-04</v>
      </c>
      <c r="I396" s="8" t="str">
        <f t="shared" si="20"/>
        <v>木</v>
      </c>
    </row>
    <row r="397" spans="1:9" x14ac:dyDescent="0.15">
      <c r="A397" s="16">
        <f>実績データ!A397</f>
        <v>46143</v>
      </c>
      <c r="B397" s="8" t="str">
        <f>実績データ!C397</f>
        <v>A駐車場（新宿駅前）</v>
      </c>
      <c r="C397" s="8" t="str">
        <f t="shared" si="18"/>
        <v>A駐車場（新宿駅前）</v>
      </c>
      <c r="D397" s="8">
        <f>実績データ!F397</f>
        <v>169</v>
      </c>
      <c r="E397" s="17">
        <f>実績データ!G397</f>
        <v>213488</v>
      </c>
      <c r="F397" s="18">
        <f>実績データ!H397</f>
        <v>0.62082115137372662</v>
      </c>
      <c r="G397" s="8">
        <f>実績データ!I397</f>
        <v>66</v>
      </c>
      <c r="H397" s="8" t="str">
        <f t="shared" si="19"/>
        <v>2026-05</v>
      </c>
      <c r="I397" s="8" t="str">
        <f t="shared" si="20"/>
        <v>金</v>
      </c>
    </row>
    <row r="398" spans="1:9" x14ac:dyDescent="0.15">
      <c r="A398" s="16">
        <f>実績データ!A398</f>
        <v>46144</v>
      </c>
      <c r="B398" s="8" t="str">
        <f>実績データ!C398</f>
        <v>B駐車場 (渋谷南)</v>
      </c>
      <c r="C398" s="8" t="str">
        <f t="shared" si="18"/>
        <v>B駐車場（渋谷南）</v>
      </c>
      <c r="D398" s="8">
        <f>実績データ!F398</f>
        <v>220</v>
      </c>
      <c r="E398" s="17">
        <f>実績データ!G398</f>
        <v>270827</v>
      </c>
      <c r="F398" s="18">
        <f>実績データ!H398</f>
        <v>0.77094015331278976</v>
      </c>
      <c r="G398" s="8">
        <f>実績データ!I398</f>
        <v>71</v>
      </c>
      <c r="H398" s="8" t="str">
        <f t="shared" si="19"/>
        <v>2026-05</v>
      </c>
      <c r="I398" s="8" t="str">
        <f t="shared" si="20"/>
        <v>土</v>
      </c>
    </row>
    <row r="399" spans="1:9" x14ac:dyDescent="0.15">
      <c r="A399" s="16">
        <f>実績データ!A399</f>
        <v>46145</v>
      </c>
      <c r="B399" s="8" t="str">
        <f>実績データ!C399</f>
        <v>C駐車場（池袋西口）</v>
      </c>
      <c r="C399" s="8" t="str">
        <f t="shared" si="18"/>
        <v>C駐車場（池袋西口）</v>
      </c>
      <c r="D399" s="8">
        <f>実績データ!F399</f>
        <v>149</v>
      </c>
      <c r="E399" s="17">
        <f>実績データ!G399</f>
        <v>181127</v>
      </c>
      <c r="F399" s="18">
        <f>実績データ!H399</f>
        <v>0.51278389518599987</v>
      </c>
      <c r="G399" s="8">
        <f>実績データ!I399</f>
        <v>61</v>
      </c>
      <c r="H399" s="8" t="str">
        <f t="shared" si="19"/>
        <v>2026-05</v>
      </c>
      <c r="I399" s="8" t="str">
        <f t="shared" si="20"/>
        <v>日</v>
      </c>
    </row>
    <row r="400" spans="1:9" x14ac:dyDescent="0.15">
      <c r="A400" s="16">
        <f>実績データ!A400</f>
        <v>46146</v>
      </c>
      <c r="B400" s="8" t="str">
        <f>実績データ!C400</f>
        <v>A駐車場（新宿駅前）</v>
      </c>
      <c r="C400" s="8" t="str">
        <f t="shared" si="18"/>
        <v>A駐車場（新宿駅前）</v>
      </c>
      <c r="D400" s="8">
        <f>実績データ!F400</f>
        <v>179</v>
      </c>
      <c r="E400" s="17">
        <f>実績データ!G400</f>
        <v>222784</v>
      </c>
      <c r="F400" s="18">
        <f>実績データ!H400</f>
        <v>0.66357630779208743</v>
      </c>
      <c r="G400" s="8">
        <f>実績データ!I400</f>
        <v>62</v>
      </c>
      <c r="H400" s="8" t="str">
        <f t="shared" si="19"/>
        <v>2026-05</v>
      </c>
      <c r="I400" s="8" t="str">
        <f t="shared" si="20"/>
        <v>月</v>
      </c>
    </row>
    <row r="401" spans="1:9" x14ac:dyDescent="0.15">
      <c r="A401" s="16">
        <f>実績データ!A401</f>
        <v>46147</v>
      </c>
      <c r="B401" s="8" t="str">
        <f>実績データ!C401</f>
        <v xml:space="preserve">B駐車場（渋谷南） </v>
      </c>
      <c r="C401" s="8" t="str">
        <f t="shared" si="18"/>
        <v>B駐車場（渋谷南）</v>
      </c>
      <c r="D401" s="8">
        <f>実績データ!F401</f>
        <v>194</v>
      </c>
      <c r="E401" s="17">
        <f>実績データ!G401</f>
        <v>249320</v>
      </c>
      <c r="F401" s="18">
        <f>実績データ!H401</f>
        <v>0.80485286416926327</v>
      </c>
      <c r="G401" s="8">
        <f>実績データ!I401</f>
        <v>85</v>
      </c>
      <c r="H401" s="8" t="str">
        <f t="shared" si="19"/>
        <v>2026-05</v>
      </c>
      <c r="I401" s="8" t="str">
        <f t="shared" si="20"/>
        <v>火</v>
      </c>
    </row>
    <row r="402" spans="1:9" x14ac:dyDescent="0.15">
      <c r="A402" s="16">
        <f>実績データ!A402</f>
        <v>46148</v>
      </c>
      <c r="B402" s="8" t="str">
        <f>実績データ!C402</f>
        <v xml:space="preserve">D駐車場（横浜元町） </v>
      </c>
      <c r="C402" s="8" t="str">
        <f t="shared" si="18"/>
        <v>D駐車場（横浜元町）</v>
      </c>
      <c r="D402" s="8">
        <f>実績データ!F402</f>
        <v>143</v>
      </c>
      <c r="E402" s="17">
        <f>実績データ!G402</f>
        <v>161532</v>
      </c>
      <c r="F402" s="18">
        <f>実績データ!H402</f>
        <v>0.52822340045399219</v>
      </c>
      <c r="G402" s="8">
        <f>実績データ!I402</f>
        <v>63</v>
      </c>
      <c r="H402" s="8" t="str">
        <f t="shared" si="19"/>
        <v>2026-05</v>
      </c>
      <c r="I402" s="8" t="str">
        <f t="shared" si="20"/>
        <v>水</v>
      </c>
    </row>
    <row r="403" spans="1:9" x14ac:dyDescent="0.15">
      <c r="A403" s="16">
        <f>実績データ!A403</f>
        <v>46149</v>
      </c>
      <c r="B403" s="8" t="str">
        <f>実績データ!C403</f>
        <v>B駐車場 (渋谷南)</v>
      </c>
      <c r="C403" s="8" t="str">
        <f t="shared" si="18"/>
        <v>B駐車場（渋谷南）</v>
      </c>
      <c r="D403" s="8">
        <f>実績データ!F403</f>
        <v>173</v>
      </c>
      <c r="E403" s="17">
        <f>実績データ!G403</f>
        <v>217654</v>
      </c>
      <c r="F403" s="18">
        <f>実績データ!H403</f>
        <v>0.64091811561908207</v>
      </c>
      <c r="G403" s="8">
        <f>実績データ!I403</f>
        <v>79</v>
      </c>
      <c r="H403" s="8" t="str">
        <f t="shared" si="19"/>
        <v>2026-05</v>
      </c>
      <c r="I403" s="8" t="str">
        <f t="shared" si="20"/>
        <v>木</v>
      </c>
    </row>
    <row r="404" spans="1:9" x14ac:dyDescent="0.15">
      <c r="A404" s="16">
        <f>実績データ!A404</f>
        <v>46150</v>
      </c>
      <c r="B404" s="8" t="str">
        <f>実績データ!C404</f>
        <v>B駐車場 (渋谷南)</v>
      </c>
      <c r="C404" s="8" t="str">
        <f t="shared" si="18"/>
        <v>B駐車場（渋谷南）</v>
      </c>
      <c r="D404" s="8">
        <f>実績データ!F404</f>
        <v>186</v>
      </c>
      <c r="E404" s="17">
        <f>実績データ!G404</f>
        <v>212834</v>
      </c>
      <c r="F404" s="18">
        <f>実績データ!H404</f>
        <v>0.74296449966226008</v>
      </c>
      <c r="G404" s="8">
        <f>実績データ!I404</f>
        <v>81</v>
      </c>
      <c r="H404" s="8" t="str">
        <f t="shared" si="19"/>
        <v>2026-05</v>
      </c>
      <c r="I404" s="8" t="str">
        <f t="shared" si="20"/>
        <v>金</v>
      </c>
    </row>
    <row r="405" spans="1:9" x14ac:dyDescent="0.15">
      <c r="A405" s="16">
        <f>実績データ!A405</f>
        <v>46151</v>
      </c>
      <c r="B405" s="8" t="str">
        <f>実績データ!C405</f>
        <v>A駐車場 (新宿駅前)</v>
      </c>
      <c r="C405" s="8" t="str">
        <f t="shared" si="18"/>
        <v>A駐車場（新宿駅前）</v>
      </c>
      <c r="D405" s="8">
        <f>実績データ!F405</f>
        <v>225</v>
      </c>
      <c r="E405" s="17">
        <f>実績データ!G405</f>
        <v>255844</v>
      </c>
      <c r="F405" s="18">
        <f>実績データ!H405</f>
        <v>0.82758266708336214</v>
      </c>
      <c r="G405" s="8">
        <f>実績データ!I405</f>
        <v>76</v>
      </c>
      <c r="H405" s="8" t="str">
        <f t="shared" si="19"/>
        <v>2026-05</v>
      </c>
      <c r="I405" s="8" t="str">
        <f t="shared" si="20"/>
        <v>土</v>
      </c>
    </row>
    <row r="406" spans="1:9" x14ac:dyDescent="0.15">
      <c r="A406" s="16">
        <f>実績データ!A406</f>
        <v>46152</v>
      </c>
      <c r="B406" s="8" t="str">
        <f>実績データ!C406</f>
        <v>D駐車場（横浜元町）</v>
      </c>
      <c r="C406" s="8" t="str">
        <f t="shared" si="18"/>
        <v>D駐車場（横浜元町）</v>
      </c>
      <c r="D406" s="8">
        <f>実績データ!F406</f>
        <v>136</v>
      </c>
      <c r="E406" s="17">
        <f>実績データ!G406</f>
        <v>170584</v>
      </c>
      <c r="F406" s="18">
        <f>実績データ!H406</f>
        <v>0.52873138877596704</v>
      </c>
      <c r="G406" s="8">
        <f>実績データ!I406</f>
        <v>68</v>
      </c>
      <c r="H406" s="8" t="str">
        <f t="shared" si="19"/>
        <v>2026-05</v>
      </c>
      <c r="I406" s="8" t="str">
        <f t="shared" si="20"/>
        <v>日</v>
      </c>
    </row>
    <row r="407" spans="1:9" x14ac:dyDescent="0.15">
      <c r="A407" s="16">
        <f>実績データ!A407</f>
        <v>46153</v>
      </c>
      <c r="B407" s="8" t="str">
        <f>実績データ!C407</f>
        <v xml:space="preserve">B駐車場（渋谷南） </v>
      </c>
      <c r="C407" s="8" t="str">
        <f t="shared" si="18"/>
        <v>B駐車場（渋谷南）</v>
      </c>
      <c r="D407" s="8">
        <f>実績データ!F407</f>
        <v>196</v>
      </c>
      <c r="E407" s="17">
        <f>実績データ!G407</f>
        <v>240756</v>
      </c>
      <c r="F407" s="18">
        <f>実績データ!H407</f>
        <v>0.75927793626055939</v>
      </c>
      <c r="G407" s="8">
        <f>実績データ!I407</f>
        <v>83</v>
      </c>
      <c r="H407" s="8" t="str">
        <f t="shared" si="19"/>
        <v>2026-05</v>
      </c>
      <c r="I407" s="8" t="str">
        <f t="shared" si="20"/>
        <v>月</v>
      </c>
    </row>
    <row r="408" spans="1:9" x14ac:dyDescent="0.15">
      <c r="A408" s="16">
        <f>実績データ!A408</f>
        <v>46154</v>
      </c>
      <c r="B408" s="8" t="str">
        <f>実績データ!C408</f>
        <v>D駐車場 (横浜元町)</v>
      </c>
      <c r="C408" s="8" t="str">
        <f t="shared" si="18"/>
        <v>D駐車場（横浜元町）</v>
      </c>
      <c r="D408" s="8">
        <f>実績データ!F408</f>
        <v>140</v>
      </c>
      <c r="E408" s="17">
        <f>実績データ!G408</f>
        <v>185105</v>
      </c>
      <c r="F408" s="18">
        <f>実績データ!H408</f>
        <v>0.56662856948720497</v>
      </c>
      <c r="G408" s="8">
        <f>実績データ!I408</f>
        <v>78</v>
      </c>
      <c r="H408" s="8" t="str">
        <f t="shared" si="19"/>
        <v>2026-05</v>
      </c>
      <c r="I408" s="8" t="str">
        <f t="shared" si="20"/>
        <v>火</v>
      </c>
    </row>
    <row r="409" spans="1:9" x14ac:dyDescent="0.15">
      <c r="A409" s="16">
        <f>実績データ!A409</f>
        <v>46155</v>
      </c>
      <c r="B409" s="8" t="str">
        <f>実績データ!C409</f>
        <v>A駐車場（新宿駅前）</v>
      </c>
      <c r="C409" s="8" t="str">
        <f t="shared" si="18"/>
        <v>A駐車場（新宿駅前）</v>
      </c>
      <c r="D409" s="8">
        <f>実績データ!F409</f>
        <v>176</v>
      </c>
      <c r="E409" s="17">
        <f>実績データ!G409</f>
        <v>222528</v>
      </c>
      <c r="F409" s="18">
        <f>実績データ!H409</f>
        <v>0.66396992421748502</v>
      </c>
      <c r="G409" s="8">
        <f>実績データ!I409</f>
        <v>77</v>
      </c>
      <c r="H409" s="8" t="str">
        <f t="shared" si="19"/>
        <v>2026-05</v>
      </c>
      <c r="I409" s="8" t="str">
        <f t="shared" si="20"/>
        <v>水</v>
      </c>
    </row>
    <row r="410" spans="1:9" x14ac:dyDescent="0.15">
      <c r="A410" s="16">
        <f>実績データ!A410</f>
        <v>46156</v>
      </c>
      <c r="B410" s="8" t="str">
        <f>実績データ!C410</f>
        <v>A駐車場（新宿駅前）</v>
      </c>
      <c r="C410" s="8" t="str">
        <f t="shared" si="18"/>
        <v>A駐車場（新宿駅前）</v>
      </c>
      <c r="D410" s="8">
        <f>実績データ!F410</f>
        <v>181</v>
      </c>
      <c r="E410" s="17">
        <f>実績データ!G410</f>
        <v>224300</v>
      </c>
      <c r="F410" s="18">
        <f>実績データ!H410</f>
        <v>0.64594009606010128</v>
      </c>
      <c r="G410" s="8">
        <f>実績データ!I410</f>
        <v>64</v>
      </c>
      <c r="H410" s="8" t="str">
        <f t="shared" si="19"/>
        <v>2026-05</v>
      </c>
      <c r="I410" s="8" t="str">
        <f t="shared" si="20"/>
        <v>木</v>
      </c>
    </row>
    <row r="411" spans="1:9" x14ac:dyDescent="0.15">
      <c r="A411" s="16">
        <f>実績データ!A411</f>
        <v>46157</v>
      </c>
      <c r="B411" s="8" t="str">
        <f>実績データ!C411</f>
        <v>C駐車場 (池袋西口)</v>
      </c>
      <c r="C411" s="8" t="str">
        <f t="shared" si="18"/>
        <v>C駐車場（池袋西口）</v>
      </c>
      <c r="D411" s="8">
        <f>実績データ!F411</f>
        <v>160</v>
      </c>
      <c r="E411" s="17">
        <f>実績データ!G411</f>
        <v>172115</v>
      </c>
      <c r="F411" s="18">
        <f>実績データ!H411</f>
        <v>0.63511731768863633</v>
      </c>
      <c r="G411" s="8">
        <f>実績データ!I411</f>
        <v>63</v>
      </c>
      <c r="H411" s="8" t="str">
        <f t="shared" si="19"/>
        <v>2026-05</v>
      </c>
      <c r="I411" s="8" t="str">
        <f t="shared" si="20"/>
        <v>金</v>
      </c>
    </row>
    <row r="412" spans="1:9" x14ac:dyDescent="0.15">
      <c r="A412" s="16">
        <f>実績データ!A412</f>
        <v>46158</v>
      </c>
      <c r="B412" s="8" t="str">
        <f>実績データ!C412</f>
        <v>A駐車場（新宿駅前）</v>
      </c>
      <c r="C412" s="8" t="str">
        <f t="shared" si="18"/>
        <v>A駐車場（新宿駅前）</v>
      </c>
      <c r="D412" s="8">
        <f>実績データ!F412</f>
        <v>213</v>
      </c>
      <c r="E412" s="17">
        <f>実績データ!G412</f>
        <v>270620</v>
      </c>
      <c r="F412" s="18">
        <f>実績データ!H412</f>
        <v>0.78027518148396258</v>
      </c>
      <c r="G412" s="8">
        <f>実績データ!I412</f>
        <v>63</v>
      </c>
      <c r="H412" s="8" t="str">
        <f t="shared" si="19"/>
        <v>2026-05</v>
      </c>
      <c r="I412" s="8" t="str">
        <f t="shared" si="20"/>
        <v>土</v>
      </c>
    </row>
    <row r="413" spans="1:9" x14ac:dyDescent="0.15">
      <c r="A413" s="16">
        <f>実績データ!A413</f>
        <v>46159</v>
      </c>
      <c r="B413" s="8" t="str">
        <f>実績データ!C413</f>
        <v>C駐車場（池袋西口）</v>
      </c>
      <c r="C413" s="8" t="str">
        <f t="shared" si="18"/>
        <v>C駐車場（池袋西口）</v>
      </c>
      <c r="D413" s="8">
        <f>実績データ!F413</f>
        <v>144</v>
      </c>
      <c r="E413" s="17">
        <f>実績データ!G413</f>
        <v>167807</v>
      </c>
      <c r="F413" s="18">
        <f>実績データ!H413</f>
        <v>0.52649902447687624</v>
      </c>
      <c r="G413" s="8">
        <f>実績データ!I413</f>
        <v>68</v>
      </c>
      <c r="H413" s="8" t="str">
        <f t="shared" si="19"/>
        <v>2026-05</v>
      </c>
      <c r="I413" s="8" t="str">
        <f t="shared" si="20"/>
        <v>日</v>
      </c>
    </row>
    <row r="414" spans="1:9" x14ac:dyDescent="0.15">
      <c r="A414" s="16">
        <f>実績データ!A414</f>
        <v>46160</v>
      </c>
      <c r="B414" s="8" t="str">
        <f>実績データ!C414</f>
        <v>C駐車場（池袋西口）</v>
      </c>
      <c r="C414" s="8" t="str">
        <f t="shared" si="18"/>
        <v>C駐車場（池袋西口）</v>
      </c>
      <c r="D414" s="8">
        <f>実績データ!F414</f>
        <v>122</v>
      </c>
      <c r="E414" s="17">
        <f>実績データ!G414</f>
        <v>166593</v>
      </c>
      <c r="F414" s="18">
        <f>実績データ!H414</f>
        <v>0.50267795446142949</v>
      </c>
      <c r="G414" s="8">
        <f>実績データ!I414</f>
        <v>58</v>
      </c>
      <c r="H414" s="8" t="str">
        <f t="shared" si="19"/>
        <v>2026-05</v>
      </c>
      <c r="I414" s="8" t="str">
        <f t="shared" si="20"/>
        <v>月</v>
      </c>
    </row>
    <row r="415" spans="1:9" x14ac:dyDescent="0.15">
      <c r="A415" s="16">
        <f>実績データ!A415</f>
        <v>46161</v>
      </c>
      <c r="B415" s="8" t="str">
        <f>実績データ!C415</f>
        <v>D駐車場（横浜元町）</v>
      </c>
      <c r="C415" s="8" t="str">
        <f t="shared" si="18"/>
        <v>D駐車場（横浜元町）</v>
      </c>
      <c r="D415" s="8">
        <f>実績データ!F415</f>
        <v>132</v>
      </c>
      <c r="E415" s="17">
        <f>実績データ!G415</f>
        <v>144003</v>
      </c>
      <c r="F415" s="18">
        <f>実績データ!H415</f>
        <v>0.50135666510403287</v>
      </c>
      <c r="G415" s="8">
        <f>実績データ!I415</f>
        <v>59</v>
      </c>
      <c r="H415" s="8" t="str">
        <f t="shared" si="19"/>
        <v>2026-05</v>
      </c>
      <c r="I415" s="8" t="str">
        <f t="shared" si="20"/>
        <v>火</v>
      </c>
    </row>
    <row r="416" spans="1:9" x14ac:dyDescent="0.15">
      <c r="A416" s="16">
        <f>実績データ!A416</f>
        <v>46162</v>
      </c>
      <c r="B416" s="8" t="str">
        <f>実績データ!C416</f>
        <v>B駐車場（渋谷南）</v>
      </c>
      <c r="C416" s="8" t="str">
        <f t="shared" si="18"/>
        <v>B駐車場（渋谷南）</v>
      </c>
      <c r="D416" s="8">
        <f>実績データ!F416</f>
        <v>199</v>
      </c>
      <c r="E416" s="17">
        <f>実績データ!G416</f>
        <v>240409</v>
      </c>
      <c r="F416" s="18">
        <f>実績データ!H416</f>
        <v>0.72339042086680083</v>
      </c>
      <c r="G416" s="8">
        <f>実績データ!I416</f>
        <v>78</v>
      </c>
      <c r="H416" s="8" t="str">
        <f t="shared" si="19"/>
        <v>2026-05</v>
      </c>
      <c r="I416" s="8" t="str">
        <f t="shared" si="20"/>
        <v>水</v>
      </c>
    </row>
    <row r="417" spans="1:9" x14ac:dyDescent="0.15">
      <c r="A417" s="16">
        <f>実績データ!A417</f>
        <v>46163</v>
      </c>
      <c r="B417" s="8" t="str">
        <f>実績データ!C417</f>
        <v>A駐車場（新宿駅前）</v>
      </c>
      <c r="C417" s="8" t="str">
        <f t="shared" si="18"/>
        <v>A駐車場（新宿駅前）</v>
      </c>
      <c r="D417" s="8">
        <f>実績データ!F417</f>
        <v>180</v>
      </c>
      <c r="E417" s="17">
        <f>実績データ!G417</f>
        <v>232828</v>
      </c>
      <c r="F417" s="18">
        <f>実績データ!H417</f>
        <v>0.73728646770369666</v>
      </c>
      <c r="G417" s="8">
        <f>実績データ!I417</f>
        <v>83</v>
      </c>
      <c r="H417" s="8" t="str">
        <f t="shared" si="19"/>
        <v>2026-05</v>
      </c>
      <c r="I417" s="8" t="str">
        <f t="shared" si="20"/>
        <v>木</v>
      </c>
    </row>
    <row r="418" spans="1:9" x14ac:dyDescent="0.15">
      <c r="A418" s="16">
        <f>実績データ!A418</f>
        <v>46164</v>
      </c>
      <c r="B418" s="8" t="str">
        <f>実績データ!C418</f>
        <v xml:space="preserve">B駐車場（渋谷南） </v>
      </c>
      <c r="C418" s="8" t="str">
        <f t="shared" si="18"/>
        <v>B駐車場（渋谷南）</v>
      </c>
      <c r="D418" s="8">
        <f>実績データ!F418</f>
        <v>190</v>
      </c>
      <c r="E418" s="17">
        <f>実績データ!G418</f>
        <v>227832</v>
      </c>
      <c r="F418" s="18">
        <f>実績データ!H418</f>
        <v>0.6553974140707266</v>
      </c>
      <c r="G418" s="8">
        <f>実績データ!I418</f>
        <v>82</v>
      </c>
      <c r="H418" s="8" t="str">
        <f t="shared" si="19"/>
        <v>2026-05</v>
      </c>
      <c r="I418" s="8" t="str">
        <f t="shared" si="20"/>
        <v>金</v>
      </c>
    </row>
    <row r="419" spans="1:9" x14ac:dyDescent="0.15">
      <c r="A419" s="16">
        <f>実績データ!A419</f>
        <v>46165</v>
      </c>
      <c r="B419" s="8" t="str">
        <f>実績データ!C419</f>
        <v xml:space="preserve">D駐車場（横浜元町） </v>
      </c>
      <c r="C419" s="8" t="str">
        <f t="shared" si="18"/>
        <v>D駐車場（横浜元町）</v>
      </c>
      <c r="D419" s="8">
        <f>実績データ!F419</f>
        <v>113</v>
      </c>
      <c r="E419" s="17">
        <f>実績データ!G419</f>
        <v>131661</v>
      </c>
      <c r="F419" s="18">
        <f>実績データ!H419</f>
        <v>0.44082525903526482</v>
      </c>
      <c r="G419" s="8">
        <f>実績データ!I419</f>
        <v>71</v>
      </c>
      <c r="H419" s="8" t="str">
        <f t="shared" si="19"/>
        <v>2026-05</v>
      </c>
      <c r="I419" s="8" t="str">
        <f t="shared" si="20"/>
        <v>土</v>
      </c>
    </row>
    <row r="420" spans="1:9" x14ac:dyDescent="0.15">
      <c r="A420" s="16">
        <f>実績データ!A420</f>
        <v>46166</v>
      </c>
      <c r="B420" s="8" t="str">
        <f>実績データ!C420</f>
        <v>B駐車場 (渋谷南)</v>
      </c>
      <c r="C420" s="8" t="str">
        <f t="shared" si="18"/>
        <v>B駐車場（渋谷南）</v>
      </c>
      <c r="D420" s="8">
        <f>実績データ!F420</f>
        <v>216</v>
      </c>
      <c r="E420" s="17">
        <f>実績データ!G420</f>
        <v>264497</v>
      </c>
      <c r="F420" s="18">
        <f>実績データ!H420</f>
        <v>0.80027393245260925</v>
      </c>
      <c r="G420" s="8">
        <f>実績データ!I420</f>
        <v>75</v>
      </c>
      <c r="H420" s="8" t="str">
        <f t="shared" si="19"/>
        <v>2026-05</v>
      </c>
      <c r="I420" s="8" t="str">
        <f t="shared" si="20"/>
        <v>日</v>
      </c>
    </row>
    <row r="421" spans="1:9" x14ac:dyDescent="0.15">
      <c r="A421" s="16">
        <f>実績データ!A421</f>
        <v>46167</v>
      </c>
      <c r="B421" s="8" t="str">
        <f>実績データ!C421</f>
        <v>C駐車場（池袋西口）</v>
      </c>
      <c r="C421" s="8" t="str">
        <f t="shared" si="18"/>
        <v>C駐車場（池袋西口）</v>
      </c>
      <c r="D421" s="8">
        <f>実績データ!F421</f>
        <v>139</v>
      </c>
      <c r="E421" s="17">
        <f>実績データ!G421</f>
        <v>166067</v>
      </c>
      <c r="F421" s="18">
        <f>実績データ!H421</f>
        <v>0.57157860947627315</v>
      </c>
      <c r="G421" s="8">
        <f>実績データ!I421</f>
        <v>56</v>
      </c>
      <c r="H421" s="8" t="str">
        <f t="shared" si="19"/>
        <v>2026-05</v>
      </c>
      <c r="I421" s="8" t="str">
        <f t="shared" si="20"/>
        <v>月</v>
      </c>
    </row>
    <row r="422" spans="1:9" x14ac:dyDescent="0.15">
      <c r="A422" s="16">
        <f>実績データ!A422</f>
        <v>46168</v>
      </c>
      <c r="B422" s="8" t="str">
        <f>実績データ!C422</f>
        <v xml:space="preserve">B駐車場（渋谷南） </v>
      </c>
      <c r="C422" s="8" t="str">
        <f t="shared" si="18"/>
        <v>B駐車場（渋谷南）</v>
      </c>
      <c r="D422" s="8">
        <f>実績データ!F422</f>
        <v>179</v>
      </c>
      <c r="E422" s="17">
        <f>実績データ!G422</f>
        <v>234188</v>
      </c>
      <c r="F422" s="18">
        <f>実績データ!H422</f>
        <v>0.74891290342216899</v>
      </c>
      <c r="G422" s="8">
        <f>実績データ!I422</f>
        <v>79</v>
      </c>
      <c r="H422" s="8" t="str">
        <f t="shared" si="19"/>
        <v>2026-05</v>
      </c>
      <c r="I422" s="8" t="str">
        <f t="shared" si="20"/>
        <v>火</v>
      </c>
    </row>
    <row r="423" spans="1:9" x14ac:dyDescent="0.15">
      <c r="A423" s="16">
        <f>実績データ!A423</f>
        <v>46169</v>
      </c>
      <c r="B423" s="8" t="str">
        <f>実績データ!C423</f>
        <v>B駐車場 (渋谷南)</v>
      </c>
      <c r="C423" s="8" t="str">
        <f t="shared" si="18"/>
        <v>B駐車場（渋谷南）</v>
      </c>
      <c r="D423" s="8">
        <f>実績データ!F423</f>
        <v>179</v>
      </c>
      <c r="E423" s="17">
        <f>実績データ!G423</f>
        <v>221031</v>
      </c>
      <c r="F423" s="18">
        <f>実績データ!H423</f>
        <v>0.68751091308606715</v>
      </c>
      <c r="G423" s="8">
        <f>実績データ!I423</f>
        <v>92</v>
      </c>
      <c r="H423" s="8" t="str">
        <f t="shared" si="19"/>
        <v>2026-05</v>
      </c>
      <c r="I423" s="8" t="str">
        <f t="shared" si="20"/>
        <v>水</v>
      </c>
    </row>
    <row r="424" spans="1:9" x14ac:dyDescent="0.15">
      <c r="A424" s="16">
        <f>実績データ!A424</f>
        <v>46170</v>
      </c>
      <c r="B424" s="8" t="str">
        <f>実績データ!C424</f>
        <v>D駐車場 (横浜元町)</v>
      </c>
      <c r="C424" s="8" t="str">
        <f t="shared" si="18"/>
        <v>D駐車場（横浜元町）</v>
      </c>
      <c r="D424" s="8">
        <f>実績データ!F424</f>
        <v>155</v>
      </c>
      <c r="E424" s="17">
        <f>実績データ!G424</f>
        <v>167039</v>
      </c>
      <c r="F424" s="18">
        <f>実績データ!H424</f>
        <v>0.57240598634494</v>
      </c>
      <c r="G424" s="8">
        <f>実績データ!I424</f>
        <v>71</v>
      </c>
      <c r="H424" s="8" t="str">
        <f t="shared" si="19"/>
        <v>2026-05</v>
      </c>
      <c r="I424" s="8" t="str">
        <f t="shared" si="20"/>
        <v>木</v>
      </c>
    </row>
    <row r="425" spans="1:9" x14ac:dyDescent="0.15">
      <c r="A425" s="16">
        <f>実績データ!A425</f>
        <v>46171</v>
      </c>
      <c r="B425" s="8" t="str">
        <f>実績データ!C425</f>
        <v xml:space="preserve"> A駐車場（新宿駅前）</v>
      </c>
      <c r="C425" s="8" t="str">
        <f t="shared" si="18"/>
        <v>A駐車場（新宿駅前）</v>
      </c>
      <c r="D425" s="8">
        <f>実績データ!F425</f>
        <v>255</v>
      </c>
      <c r="E425" s="17">
        <f>実績データ!G425</f>
        <v>313240</v>
      </c>
      <c r="F425" s="18">
        <f>実績データ!H425</f>
        <v>0.98</v>
      </c>
      <c r="G425" s="8">
        <f>実績データ!I425</f>
        <v>68</v>
      </c>
      <c r="H425" s="8" t="str">
        <f t="shared" si="19"/>
        <v>2026-05</v>
      </c>
      <c r="I425" s="8" t="str">
        <f t="shared" si="20"/>
        <v>金</v>
      </c>
    </row>
    <row r="426" spans="1:9" x14ac:dyDescent="0.15">
      <c r="A426" s="16">
        <f>実績データ!A426</f>
        <v>46172</v>
      </c>
      <c r="B426" s="8" t="str">
        <f>実績データ!C426</f>
        <v>D駐車場 (横浜元町)</v>
      </c>
      <c r="C426" s="8" t="str">
        <f t="shared" si="18"/>
        <v>D駐車場（横浜元町）</v>
      </c>
      <c r="D426" s="8">
        <f>実績データ!F426</f>
        <v>187</v>
      </c>
      <c r="E426" s="17">
        <f>実績データ!G426</f>
        <v>232772</v>
      </c>
      <c r="F426" s="18">
        <f>実績データ!H426</f>
        <v>0.6750710573254094</v>
      </c>
      <c r="G426" s="8">
        <f>実績データ!I426</f>
        <v>57</v>
      </c>
      <c r="H426" s="8" t="str">
        <f t="shared" si="19"/>
        <v>2026-05</v>
      </c>
      <c r="I426" s="8" t="str">
        <f t="shared" si="20"/>
        <v>土</v>
      </c>
    </row>
    <row r="427" spans="1:9" x14ac:dyDescent="0.15">
      <c r="A427" s="16">
        <f>実績データ!A427</f>
        <v>46173</v>
      </c>
      <c r="B427" s="8" t="str">
        <f>実績データ!C427</f>
        <v>B駐車場 (渋谷南)</v>
      </c>
      <c r="C427" s="8" t="str">
        <f t="shared" si="18"/>
        <v>B駐車場（渋谷南）</v>
      </c>
      <c r="D427" s="8">
        <f>実績データ!F427</f>
        <v>212</v>
      </c>
      <c r="E427" s="17">
        <f>実績データ!G427</f>
        <v>279408</v>
      </c>
      <c r="F427" s="18">
        <f>実績データ!H427</f>
        <v>0.8665455300241991</v>
      </c>
      <c r="G427" s="8">
        <f>実績データ!I427</f>
        <v>69</v>
      </c>
      <c r="H427" s="8" t="str">
        <f t="shared" si="19"/>
        <v>2026-05</v>
      </c>
      <c r="I427" s="8" t="str">
        <f t="shared" si="20"/>
        <v>日</v>
      </c>
    </row>
    <row r="428" spans="1:9" x14ac:dyDescent="0.15">
      <c r="A428" s="16">
        <f>実績データ!A428</f>
        <v>46174</v>
      </c>
      <c r="B428" s="8" t="str">
        <f>実績データ!C428</f>
        <v xml:space="preserve">B駐車場（渋谷南） </v>
      </c>
      <c r="C428" s="8" t="str">
        <f t="shared" si="18"/>
        <v>B駐車場（渋谷南）</v>
      </c>
      <c r="D428" s="8">
        <f>実績データ!F428</f>
        <v>175</v>
      </c>
      <c r="E428" s="17">
        <f>実績データ!G428</f>
        <v>199767</v>
      </c>
      <c r="F428" s="18">
        <f>実績データ!H428</f>
        <v>0.70019928759667094</v>
      </c>
      <c r="G428" s="8">
        <f>実績データ!I428</f>
        <v>77</v>
      </c>
      <c r="H428" s="8" t="str">
        <f t="shared" si="19"/>
        <v>2026-06</v>
      </c>
      <c r="I428" s="8" t="str">
        <f t="shared" si="20"/>
        <v>月</v>
      </c>
    </row>
    <row r="429" spans="1:9" x14ac:dyDescent="0.15">
      <c r="A429" s="16">
        <f>実績データ!A429</f>
        <v>46175</v>
      </c>
      <c r="B429" s="8" t="str">
        <f>実績データ!C429</f>
        <v>A駐車場 (新宿駅前)</v>
      </c>
      <c r="C429" s="8" t="str">
        <f t="shared" si="18"/>
        <v>A駐車場（新宿駅前）</v>
      </c>
      <c r="D429" s="8">
        <f>実績データ!F429</f>
        <v>134</v>
      </c>
      <c r="E429" s="17">
        <f>実績データ!G429</f>
        <v>144102</v>
      </c>
      <c r="F429" s="18">
        <f>実績データ!H429</f>
        <v>0.5283167810284356</v>
      </c>
      <c r="G429" s="8">
        <f>実績データ!I429</f>
        <v>65</v>
      </c>
      <c r="H429" s="8" t="str">
        <f t="shared" si="19"/>
        <v>2026-06</v>
      </c>
      <c r="I429" s="8" t="str">
        <f t="shared" si="20"/>
        <v>火</v>
      </c>
    </row>
    <row r="430" spans="1:9" x14ac:dyDescent="0.15">
      <c r="A430" s="16">
        <f>実績データ!A430</f>
        <v>46176</v>
      </c>
      <c r="B430" s="8" t="str">
        <f>実績データ!C430</f>
        <v xml:space="preserve"> C駐車場（池袋西口）</v>
      </c>
      <c r="C430" s="8" t="str">
        <f t="shared" si="18"/>
        <v>C駐車場（池袋西口）</v>
      </c>
      <c r="D430" s="8">
        <f>実績データ!F430</f>
        <v>97</v>
      </c>
      <c r="E430" s="17">
        <f>実績データ!G430</f>
        <v>114364</v>
      </c>
      <c r="F430" s="18">
        <f>実績データ!H430</f>
        <v>0.41167517466196019</v>
      </c>
      <c r="G430" s="8">
        <f>実績データ!I430</f>
        <v>54</v>
      </c>
      <c r="H430" s="8" t="str">
        <f t="shared" si="19"/>
        <v>2026-06</v>
      </c>
      <c r="I430" s="8" t="str">
        <f t="shared" si="20"/>
        <v>水</v>
      </c>
    </row>
    <row r="431" spans="1:9" x14ac:dyDescent="0.15">
      <c r="A431" s="16">
        <f>実績データ!A431</f>
        <v>46177</v>
      </c>
      <c r="B431" s="8" t="str">
        <f>実績データ!C431</f>
        <v>D駐車場 (横浜元町)</v>
      </c>
      <c r="C431" s="8" t="str">
        <f t="shared" si="18"/>
        <v>D駐車場（横浜元町）</v>
      </c>
      <c r="D431" s="8">
        <f>実績データ!F431</f>
        <v>136</v>
      </c>
      <c r="E431" s="17">
        <f>実績データ!G431</f>
        <v>165805</v>
      </c>
      <c r="F431" s="18">
        <f>実績データ!H431</f>
        <v>0.5443617595108875</v>
      </c>
      <c r="G431" s="8">
        <f>実績データ!I431</f>
        <v>57</v>
      </c>
      <c r="H431" s="8" t="str">
        <f t="shared" si="19"/>
        <v>2026-06</v>
      </c>
      <c r="I431" s="8" t="str">
        <f t="shared" si="20"/>
        <v>木</v>
      </c>
    </row>
    <row r="432" spans="1:9" x14ac:dyDescent="0.15">
      <c r="A432" s="16">
        <f>実績データ!A432</f>
        <v>46178</v>
      </c>
      <c r="B432" s="8" t="str">
        <f>実績データ!C432</f>
        <v xml:space="preserve"> A駐車場（新宿駅前）</v>
      </c>
      <c r="C432" s="8" t="str">
        <f t="shared" si="18"/>
        <v>A駐車場（新宿駅前）</v>
      </c>
      <c r="D432" s="8">
        <f>実績データ!F432</f>
        <v>186</v>
      </c>
      <c r="E432" s="17">
        <f>実績データ!G432</f>
        <v>235322</v>
      </c>
      <c r="F432" s="18">
        <f>実績データ!H432</f>
        <v>0.74064995368442477</v>
      </c>
      <c r="G432" s="8">
        <f>実績データ!I432</f>
        <v>65</v>
      </c>
      <c r="H432" s="8" t="str">
        <f t="shared" si="19"/>
        <v>2026-06</v>
      </c>
      <c r="I432" s="8" t="str">
        <f t="shared" si="20"/>
        <v>金</v>
      </c>
    </row>
    <row r="433" spans="1:9" x14ac:dyDescent="0.15">
      <c r="A433" s="16">
        <f>実績データ!A433</f>
        <v>46179</v>
      </c>
      <c r="B433" s="8" t="str">
        <f>実績データ!C433</f>
        <v xml:space="preserve"> C駐車場（池袋西口）</v>
      </c>
      <c r="C433" s="8" t="str">
        <f t="shared" si="18"/>
        <v>C駐車場（池袋西口）</v>
      </c>
      <c r="D433" s="8">
        <f>実績データ!F433</f>
        <v>133</v>
      </c>
      <c r="E433" s="17">
        <f>実績データ!G433</f>
        <v>159626</v>
      </c>
      <c r="F433" s="18">
        <f>実績データ!H433</f>
        <v>0.55839217940227681</v>
      </c>
      <c r="G433" s="8">
        <f>実績データ!I433</f>
        <v>71</v>
      </c>
      <c r="H433" s="8" t="str">
        <f t="shared" si="19"/>
        <v>2026-06</v>
      </c>
      <c r="I433" s="8" t="str">
        <f t="shared" si="20"/>
        <v>土</v>
      </c>
    </row>
    <row r="434" spans="1:9" x14ac:dyDescent="0.15">
      <c r="A434" s="16">
        <f>実績データ!A434</f>
        <v>46180</v>
      </c>
      <c r="B434" s="8" t="str">
        <f>実績データ!C434</f>
        <v>A駐車場（新宿駅前）</v>
      </c>
      <c r="C434" s="8" t="str">
        <f t="shared" si="18"/>
        <v>A駐車場（新宿駅前）</v>
      </c>
      <c r="D434" s="8">
        <f>実績データ!F434</f>
        <v>210</v>
      </c>
      <c r="E434" s="17">
        <f>実績データ!G434</f>
        <v>247497</v>
      </c>
      <c r="F434" s="18">
        <f>実績データ!H434</f>
        <v>0.80420121828350399</v>
      </c>
      <c r="G434" s="8">
        <f>実績データ!I434</f>
        <v>74</v>
      </c>
      <c r="H434" s="8" t="str">
        <f t="shared" si="19"/>
        <v>2026-06</v>
      </c>
      <c r="I434" s="8" t="str">
        <f t="shared" si="20"/>
        <v>日</v>
      </c>
    </row>
    <row r="435" spans="1:9" x14ac:dyDescent="0.15">
      <c r="A435" s="16">
        <f>実績データ!A435</f>
        <v>46181</v>
      </c>
      <c r="B435" s="8" t="str">
        <f>実績データ!C435</f>
        <v>C駐車場 (池袋西口)</v>
      </c>
      <c r="C435" s="8" t="str">
        <f t="shared" si="18"/>
        <v>C駐車場（池袋西口）</v>
      </c>
      <c r="D435" s="8">
        <f>実績データ!F435</f>
        <v>111</v>
      </c>
      <c r="E435" s="17">
        <f>実績データ!G435</f>
        <v>140503</v>
      </c>
      <c r="F435" s="18">
        <f>実績データ!H435</f>
        <v>0.45916143268167842</v>
      </c>
      <c r="G435" s="8">
        <f>実績データ!I435</f>
        <v>63</v>
      </c>
      <c r="H435" s="8" t="str">
        <f t="shared" si="19"/>
        <v>2026-06</v>
      </c>
      <c r="I435" s="8" t="str">
        <f t="shared" si="20"/>
        <v>月</v>
      </c>
    </row>
    <row r="436" spans="1:9" x14ac:dyDescent="0.15">
      <c r="A436" s="16">
        <f>実績データ!A436</f>
        <v>46182</v>
      </c>
      <c r="B436" s="8" t="str">
        <f>実績データ!C436</f>
        <v xml:space="preserve"> A駐車場（新宿駅前）</v>
      </c>
      <c r="C436" s="8" t="str">
        <f t="shared" si="18"/>
        <v>A駐車場（新宿駅前）</v>
      </c>
      <c r="D436" s="8">
        <f>実績データ!F436</f>
        <v>157</v>
      </c>
      <c r="E436" s="17">
        <f>実績データ!G436</f>
        <v>192860</v>
      </c>
      <c r="F436" s="18">
        <f>実績データ!H436</f>
        <v>0.6258816767076455</v>
      </c>
      <c r="G436" s="8">
        <f>実績データ!I436</f>
        <v>82</v>
      </c>
      <c r="H436" s="8" t="str">
        <f t="shared" si="19"/>
        <v>2026-06</v>
      </c>
      <c r="I436" s="8" t="str">
        <f t="shared" si="20"/>
        <v>火</v>
      </c>
    </row>
    <row r="437" spans="1:9" x14ac:dyDescent="0.15">
      <c r="A437" s="16">
        <f>実績データ!A437</f>
        <v>46183</v>
      </c>
      <c r="B437" s="8" t="str">
        <f>実績データ!C437</f>
        <v>B駐車場（渋谷南）</v>
      </c>
      <c r="C437" s="8" t="str">
        <f t="shared" si="18"/>
        <v>B駐車場（渋谷南）</v>
      </c>
      <c r="D437" s="8">
        <f>実績データ!F437</f>
        <v>178</v>
      </c>
      <c r="E437" s="17">
        <f>実績データ!G437</f>
        <v>213445</v>
      </c>
      <c r="F437" s="18">
        <f>実績データ!H437</f>
        <v>0.68830426947436407</v>
      </c>
      <c r="G437" s="8">
        <f>実績データ!I437</f>
        <v>68</v>
      </c>
      <c r="H437" s="8" t="str">
        <f t="shared" si="19"/>
        <v>2026-06</v>
      </c>
      <c r="I437" s="8" t="str">
        <f t="shared" si="20"/>
        <v>水</v>
      </c>
    </row>
    <row r="438" spans="1:9" x14ac:dyDescent="0.15">
      <c r="A438" s="16">
        <f>実績データ!A438</f>
        <v>46184</v>
      </c>
      <c r="B438" s="8" t="str">
        <f>実績データ!C438</f>
        <v>D駐車場 (横浜元町)</v>
      </c>
      <c r="C438" s="8" t="str">
        <f t="shared" si="18"/>
        <v>D駐車場（横浜元町）</v>
      </c>
      <c r="D438" s="8">
        <f>実績データ!F438</f>
        <v>86</v>
      </c>
      <c r="E438" s="17">
        <f>実績データ!G438</f>
        <v>118368</v>
      </c>
      <c r="F438" s="18">
        <f>実績データ!H438</f>
        <v>0.32355660742725428</v>
      </c>
      <c r="G438" s="8">
        <f>実績データ!I438</f>
        <v>71</v>
      </c>
      <c r="H438" s="8" t="str">
        <f t="shared" si="19"/>
        <v>2026-06</v>
      </c>
      <c r="I438" s="8" t="str">
        <f t="shared" si="20"/>
        <v>木</v>
      </c>
    </row>
    <row r="439" spans="1:9" x14ac:dyDescent="0.15">
      <c r="A439" s="16">
        <f>実績データ!A439</f>
        <v>46185</v>
      </c>
      <c r="B439" s="8" t="str">
        <f>実績データ!C439</f>
        <v>A駐車場 (新宿駅前)</v>
      </c>
      <c r="C439" s="8" t="str">
        <f t="shared" si="18"/>
        <v>A駐車場（新宿駅前）</v>
      </c>
      <c r="D439" s="8">
        <f>実績データ!F439</f>
        <v>205</v>
      </c>
      <c r="E439" s="17">
        <f>実績データ!G439</f>
        <v>237433</v>
      </c>
      <c r="F439" s="18">
        <f>実績データ!H439</f>
        <v>0.78193240013239307</v>
      </c>
      <c r="G439" s="8">
        <f>実績データ!I439</f>
        <v>71</v>
      </c>
      <c r="H439" s="8" t="str">
        <f t="shared" si="19"/>
        <v>2026-06</v>
      </c>
      <c r="I439" s="8" t="str">
        <f t="shared" si="20"/>
        <v>金</v>
      </c>
    </row>
    <row r="440" spans="1:9" x14ac:dyDescent="0.15">
      <c r="A440" s="16">
        <f>実績データ!A440</f>
        <v>46186</v>
      </c>
      <c r="B440" s="8" t="str">
        <f>実績データ!C440</f>
        <v>B駐車場（渋谷南）</v>
      </c>
      <c r="C440" s="8" t="str">
        <f t="shared" si="18"/>
        <v>B駐車場（渋谷南）</v>
      </c>
      <c r="D440" s="8">
        <f>実績データ!F440</f>
        <v>184</v>
      </c>
      <c r="E440" s="17">
        <f>実績データ!G440</f>
        <v>217820</v>
      </c>
      <c r="F440" s="18">
        <f>実績データ!H440</f>
        <v>0.73142767229167927</v>
      </c>
      <c r="G440" s="8">
        <f>実績データ!I440</f>
        <v>83</v>
      </c>
      <c r="H440" s="8" t="str">
        <f t="shared" si="19"/>
        <v>2026-06</v>
      </c>
      <c r="I440" s="8" t="str">
        <f t="shared" si="20"/>
        <v>土</v>
      </c>
    </row>
    <row r="441" spans="1:9" x14ac:dyDescent="0.15">
      <c r="A441" s="16">
        <f>実績データ!A441</f>
        <v>46187</v>
      </c>
      <c r="B441" s="8" t="str">
        <f>実績データ!C441</f>
        <v xml:space="preserve"> A駐車場（新宿駅前）</v>
      </c>
      <c r="C441" s="8" t="str">
        <f t="shared" si="18"/>
        <v>A駐車場（新宿駅前）</v>
      </c>
      <c r="D441" s="8">
        <f>実績データ!F441</f>
        <v>191</v>
      </c>
      <c r="E441" s="17">
        <f>実績データ!G441</f>
        <v>242515</v>
      </c>
      <c r="F441" s="18">
        <f>実績データ!H441</f>
        <v>0.72806976116654509</v>
      </c>
      <c r="G441" s="8">
        <f>実績データ!I441</f>
        <v>61</v>
      </c>
      <c r="H441" s="8" t="str">
        <f t="shared" si="19"/>
        <v>2026-06</v>
      </c>
      <c r="I441" s="8" t="str">
        <f t="shared" si="20"/>
        <v>日</v>
      </c>
    </row>
    <row r="442" spans="1:9" x14ac:dyDescent="0.15">
      <c r="A442" s="16">
        <f>実績データ!A442</f>
        <v>46188</v>
      </c>
      <c r="B442" s="8" t="str">
        <f>実績データ!C442</f>
        <v>C駐車場（池袋西口）</v>
      </c>
      <c r="C442" s="8" t="str">
        <f t="shared" si="18"/>
        <v>C駐車場（池袋西口）</v>
      </c>
      <c r="D442" s="8">
        <f>実績データ!F442</f>
        <v>150</v>
      </c>
      <c r="E442" s="17">
        <f>実績データ!G442</f>
        <v>178162</v>
      </c>
      <c r="F442" s="18">
        <f>実績データ!H442</f>
        <v>0.5769383354368286</v>
      </c>
      <c r="G442" s="8">
        <f>実績データ!I442</f>
        <v>63</v>
      </c>
      <c r="H442" s="8" t="str">
        <f t="shared" si="19"/>
        <v>2026-06</v>
      </c>
      <c r="I442" s="8" t="str">
        <f t="shared" si="20"/>
        <v>月</v>
      </c>
    </row>
    <row r="443" spans="1:9" x14ac:dyDescent="0.15">
      <c r="A443" s="16">
        <f>実績データ!A443</f>
        <v>46189</v>
      </c>
      <c r="B443" s="8" t="str">
        <f>実績データ!C443</f>
        <v>B駐車場（渋谷南）</v>
      </c>
      <c r="C443" s="8" t="str">
        <f t="shared" si="18"/>
        <v>B駐車場（渋谷南）</v>
      </c>
      <c r="D443" s="8">
        <f>実績データ!F443</f>
        <v>174</v>
      </c>
      <c r="E443" s="17">
        <f>実績データ!G443</f>
        <v>209460</v>
      </c>
      <c r="F443" s="18">
        <f>実績データ!H443</f>
        <v>0.66456443861095127</v>
      </c>
      <c r="G443" s="8">
        <f>実績データ!I443</f>
        <v>67</v>
      </c>
      <c r="H443" s="8" t="str">
        <f t="shared" si="19"/>
        <v>2026-06</v>
      </c>
      <c r="I443" s="8" t="str">
        <f t="shared" si="20"/>
        <v>火</v>
      </c>
    </row>
    <row r="444" spans="1:9" x14ac:dyDescent="0.15">
      <c r="A444" s="16">
        <f>実績データ!A444</f>
        <v>46190</v>
      </c>
      <c r="B444" s="8" t="str">
        <f>実績データ!C444</f>
        <v>A駐車場 (新宿駅前)</v>
      </c>
      <c r="C444" s="8" t="str">
        <f t="shared" si="18"/>
        <v>A駐車場（新宿駅前）</v>
      </c>
      <c r="D444" s="8">
        <f>実績データ!F444</f>
        <v>161</v>
      </c>
      <c r="E444" s="17">
        <f>実績データ!G444</f>
        <v>208539</v>
      </c>
      <c r="F444" s="18">
        <f>実績データ!H444</f>
        <v>0.62573984519859049</v>
      </c>
      <c r="G444" s="8">
        <f>実績データ!I444</f>
        <v>60</v>
      </c>
      <c r="H444" s="8" t="str">
        <f t="shared" si="19"/>
        <v>2026-06</v>
      </c>
      <c r="I444" s="8" t="str">
        <f t="shared" si="20"/>
        <v>水</v>
      </c>
    </row>
    <row r="445" spans="1:9" x14ac:dyDescent="0.15">
      <c r="A445" s="16">
        <f>実績データ!A445</f>
        <v>46191</v>
      </c>
      <c r="B445" s="8" t="str">
        <f>実績データ!C445</f>
        <v xml:space="preserve"> A駐車場（新宿駅前）</v>
      </c>
      <c r="C445" s="8" t="str">
        <f t="shared" si="18"/>
        <v>A駐車場（新宿駅前）</v>
      </c>
      <c r="D445" s="8">
        <f>実績データ!F445</f>
        <v>188</v>
      </c>
      <c r="E445" s="17">
        <f>実績データ!G445</f>
        <v>231136</v>
      </c>
      <c r="F445" s="18">
        <f>実績データ!H445</f>
        <v>0.70618782990402884</v>
      </c>
      <c r="G445" s="8">
        <f>実績データ!I445</f>
        <v>73</v>
      </c>
      <c r="H445" s="8" t="str">
        <f t="shared" si="19"/>
        <v>2026-06</v>
      </c>
      <c r="I445" s="8" t="str">
        <f t="shared" si="20"/>
        <v>木</v>
      </c>
    </row>
    <row r="446" spans="1:9" x14ac:dyDescent="0.15">
      <c r="A446" s="16">
        <f>実績データ!A446</f>
        <v>46192</v>
      </c>
      <c r="B446" s="8" t="str">
        <f>実績データ!C446</f>
        <v>B駐車場 (渋谷南)</v>
      </c>
      <c r="C446" s="8" t="str">
        <f t="shared" si="18"/>
        <v>B駐車場（渋谷南）</v>
      </c>
      <c r="D446" s="8">
        <f>実績データ!F446</f>
        <v>165</v>
      </c>
      <c r="E446" s="17">
        <f>実績データ!G446</f>
        <v>188665</v>
      </c>
      <c r="F446" s="18">
        <f>実績データ!H446</f>
        <v>0.61834906188683147</v>
      </c>
      <c r="G446" s="8">
        <f>実績データ!I446</f>
        <v>89</v>
      </c>
      <c r="H446" s="8" t="str">
        <f t="shared" si="19"/>
        <v>2026-06</v>
      </c>
      <c r="I446" s="8" t="str">
        <f t="shared" si="20"/>
        <v>金</v>
      </c>
    </row>
    <row r="447" spans="1:9" x14ac:dyDescent="0.15">
      <c r="A447" s="16">
        <f>実績データ!A447</f>
        <v>46193</v>
      </c>
      <c r="B447" s="8" t="str">
        <f>実績データ!C447</f>
        <v>D駐車場（横浜元町）</v>
      </c>
      <c r="C447" s="8" t="str">
        <f t="shared" si="18"/>
        <v>D駐車場（横浜元町）</v>
      </c>
      <c r="D447" s="8">
        <f>実績データ!F447</f>
        <v>136</v>
      </c>
      <c r="E447" s="17">
        <f>実績データ!G447</f>
        <v>154180</v>
      </c>
      <c r="F447" s="18">
        <f>実績データ!H447</f>
        <v>0.51966101347126825</v>
      </c>
      <c r="G447" s="8">
        <f>実績データ!I447</f>
        <v>66</v>
      </c>
      <c r="H447" s="8" t="str">
        <f t="shared" si="19"/>
        <v>2026-06</v>
      </c>
      <c r="I447" s="8" t="str">
        <f t="shared" si="20"/>
        <v>土</v>
      </c>
    </row>
    <row r="448" spans="1:9" x14ac:dyDescent="0.15">
      <c r="A448" s="16">
        <f>実績データ!A448</f>
        <v>46194</v>
      </c>
      <c r="B448" s="8" t="str">
        <f>実績データ!C448</f>
        <v>B駐車場 (渋谷南)</v>
      </c>
      <c r="C448" s="8" t="str">
        <f t="shared" si="18"/>
        <v>B駐車場（渋谷南）</v>
      </c>
      <c r="D448" s="8">
        <f>実績データ!F448</f>
        <v>163</v>
      </c>
      <c r="E448" s="17">
        <f>実績データ!G448</f>
        <v>188950</v>
      </c>
      <c r="F448" s="18">
        <f>実績データ!H448</f>
        <v>0.67304437566483011</v>
      </c>
      <c r="G448" s="8">
        <f>実績データ!I448</f>
        <v>59</v>
      </c>
      <c r="H448" s="8" t="str">
        <f t="shared" si="19"/>
        <v>2026-06</v>
      </c>
      <c r="I448" s="8" t="str">
        <f t="shared" si="20"/>
        <v>日</v>
      </c>
    </row>
    <row r="449" spans="1:9" x14ac:dyDescent="0.15">
      <c r="A449" s="16">
        <f>実績データ!A449</f>
        <v>46195</v>
      </c>
      <c r="B449" s="8" t="str">
        <f>実績データ!C449</f>
        <v xml:space="preserve"> C駐車場（池袋西口）</v>
      </c>
      <c r="C449" s="8" t="str">
        <f t="shared" si="18"/>
        <v>C駐車場（池袋西口）</v>
      </c>
      <c r="D449" s="8">
        <f>実績データ!F449</f>
        <v>139</v>
      </c>
      <c r="E449" s="17">
        <f>実績データ!G449</f>
        <v>178199</v>
      </c>
      <c r="F449" s="18">
        <f>実績データ!H449</f>
        <v>0.5797956574058567</v>
      </c>
      <c r="G449" s="8">
        <f>実績データ!I449</f>
        <v>61</v>
      </c>
      <c r="H449" s="8" t="str">
        <f t="shared" si="19"/>
        <v>2026-06</v>
      </c>
      <c r="I449" s="8" t="str">
        <f t="shared" si="20"/>
        <v>月</v>
      </c>
    </row>
    <row r="450" spans="1:9" x14ac:dyDescent="0.15">
      <c r="A450" s="16">
        <f>実績データ!A450</f>
        <v>46196</v>
      </c>
      <c r="B450" s="8" t="str">
        <f>実績データ!C450</f>
        <v>A駐車場（新宿駅前）</v>
      </c>
      <c r="C450" s="8" t="str">
        <f t="shared" ref="C450:C501" si="21">SUBSTITUTE(SUBSTITUTE(SUBSTITUTE(SUBSTITUTE(B450," ",""),"　",""),"(","（"),")","）")</f>
        <v>A駐車場（新宿駅前）</v>
      </c>
      <c r="D450" s="8">
        <f>実績データ!F450</f>
        <v>185</v>
      </c>
      <c r="E450" s="17">
        <f>実績データ!G450</f>
        <v>226114</v>
      </c>
      <c r="F450" s="18">
        <f>実績データ!H450</f>
        <v>0.74669724847574703</v>
      </c>
      <c r="G450" s="8">
        <f>実績データ!I450</f>
        <v>78</v>
      </c>
      <c r="H450" s="8" t="str">
        <f t="shared" ref="H450:H501" si="22">TEXT(A450,"yyyy-mm")</f>
        <v>2026-06</v>
      </c>
      <c r="I450" s="8" t="str">
        <f t="shared" ref="I450:I501" si="23">TEXT(A450,"aaa")</f>
        <v>火</v>
      </c>
    </row>
    <row r="451" spans="1:9" x14ac:dyDescent="0.15">
      <c r="A451" s="16">
        <f>実績データ!A451</f>
        <v>46197</v>
      </c>
      <c r="B451" s="8" t="str">
        <f>実績データ!C451</f>
        <v xml:space="preserve"> A駐車場（新宿駅前）</v>
      </c>
      <c r="C451" s="8" t="str">
        <f t="shared" si="21"/>
        <v>A駐車場（新宿駅前）</v>
      </c>
      <c r="D451" s="8">
        <f>実績データ!F451</f>
        <v>176</v>
      </c>
      <c r="E451" s="17">
        <f>実績データ!G451</f>
        <v>209250</v>
      </c>
      <c r="F451" s="18">
        <f>実績データ!H451</f>
        <v>0.67598377154182709</v>
      </c>
      <c r="G451" s="8">
        <f>実績データ!I451</f>
        <v>77</v>
      </c>
      <c r="H451" s="8" t="str">
        <f t="shared" si="22"/>
        <v>2026-06</v>
      </c>
      <c r="I451" s="8" t="str">
        <f t="shared" si="23"/>
        <v>水</v>
      </c>
    </row>
    <row r="452" spans="1:9" x14ac:dyDescent="0.15">
      <c r="A452" s="16">
        <f>実績データ!A452</f>
        <v>46198</v>
      </c>
      <c r="B452" s="8" t="str">
        <f>実績データ!C452</f>
        <v xml:space="preserve"> A駐車場（新宿駅前）</v>
      </c>
      <c r="C452" s="8" t="str">
        <f t="shared" si="21"/>
        <v>A駐車場（新宿駅前）</v>
      </c>
      <c r="D452" s="8">
        <f>実績データ!F452</f>
        <v>186</v>
      </c>
      <c r="E452" s="17">
        <f>実績データ!G452</f>
        <v>231283</v>
      </c>
      <c r="F452" s="18">
        <f>実績データ!H452</f>
        <v>0.74349951664037672</v>
      </c>
      <c r="G452" s="8">
        <f>実績データ!I452</f>
        <v>73</v>
      </c>
      <c r="H452" s="8" t="str">
        <f t="shared" si="22"/>
        <v>2026-06</v>
      </c>
      <c r="I452" s="8" t="str">
        <f t="shared" si="23"/>
        <v>木</v>
      </c>
    </row>
    <row r="453" spans="1:9" x14ac:dyDescent="0.15">
      <c r="A453" s="16">
        <f>実績データ!A453</f>
        <v>46199</v>
      </c>
      <c r="B453" s="8" t="str">
        <f>実績データ!C453</f>
        <v xml:space="preserve"> A駐車場（新宿駅前）</v>
      </c>
      <c r="C453" s="8" t="str">
        <f t="shared" si="21"/>
        <v>A駐車場（新宿駅前）</v>
      </c>
      <c r="D453" s="8">
        <f>実績データ!F453</f>
        <v>199</v>
      </c>
      <c r="E453" s="17">
        <f>実績データ!G453</f>
        <v>222486</v>
      </c>
      <c r="F453" s="18">
        <f>実績データ!H453</f>
        <v>0.78445291768595826</v>
      </c>
      <c r="G453" s="8">
        <f>実績データ!I453</f>
        <v>72</v>
      </c>
      <c r="H453" s="8" t="str">
        <f t="shared" si="22"/>
        <v>2026-06</v>
      </c>
      <c r="I453" s="8" t="str">
        <f t="shared" si="23"/>
        <v>金</v>
      </c>
    </row>
    <row r="454" spans="1:9" x14ac:dyDescent="0.15">
      <c r="A454" s="16">
        <f>実績データ!A454</f>
        <v>46200</v>
      </c>
      <c r="B454" s="8" t="str">
        <f>実績データ!C454</f>
        <v>D駐車場（横浜元町）</v>
      </c>
      <c r="C454" s="8" t="str">
        <f t="shared" si="21"/>
        <v>D駐車場（横浜元町）</v>
      </c>
      <c r="D454" s="8">
        <f>実績データ!F454</f>
        <v>144</v>
      </c>
      <c r="E454" s="17">
        <f>実績データ!G454</f>
        <v>165838</v>
      </c>
      <c r="F454" s="18">
        <f>実績データ!H454</f>
        <v>0.55025741308711162</v>
      </c>
      <c r="G454" s="8">
        <f>実績データ!I454</f>
        <v>62</v>
      </c>
      <c r="H454" s="8" t="str">
        <f t="shared" si="22"/>
        <v>2026-06</v>
      </c>
      <c r="I454" s="8" t="str">
        <f t="shared" si="23"/>
        <v>土</v>
      </c>
    </row>
    <row r="455" spans="1:9" x14ac:dyDescent="0.15">
      <c r="A455" s="16">
        <f>実績データ!A455</f>
        <v>46201</v>
      </c>
      <c r="B455" s="8" t="str">
        <f>実績データ!C455</f>
        <v xml:space="preserve">D駐車場（横浜元町） </v>
      </c>
      <c r="C455" s="8" t="str">
        <f t="shared" si="21"/>
        <v>D駐車場（横浜元町）</v>
      </c>
      <c r="D455" s="8">
        <f>実績データ!F455</f>
        <v>114</v>
      </c>
      <c r="E455" s="17">
        <f>実績データ!G455</f>
        <v>141152</v>
      </c>
      <c r="F455" s="18">
        <f>実績データ!H455</f>
        <v>0.46593048603185999</v>
      </c>
      <c r="G455" s="8">
        <f>実績データ!I455</f>
        <v>59</v>
      </c>
      <c r="H455" s="8" t="str">
        <f t="shared" si="22"/>
        <v>2026-06</v>
      </c>
      <c r="I455" s="8" t="str">
        <f t="shared" si="23"/>
        <v>日</v>
      </c>
    </row>
    <row r="456" spans="1:9" x14ac:dyDescent="0.15">
      <c r="A456" s="16">
        <f>実績データ!A456</f>
        <v>46202</v>
      </c>
      <c r="B456" s="8" t="str">
        <f>実績データ!C456</f>
        <v xml:space="preserve"> A駐車場（新宿駅前）</v>
      </c>
      <c r="C456" s="8" t="str">
        <f t="shared" si="21"/>
        <v>A駐車場（新宿駅前）</v>
      </c>
      <c r="D456" s="8">
        <f>実績データ!F456</f>
        <v>195</v>
      </c>
      <c r="E456" s="17">
        <f>実績データ!G456</f>
        <v>252191</v>
      </c>
      <c r="F456" s="18">
        <f>実績データ!H456</f>
        <v>0.81705601742253442</v>
      </c>
      <c r="G456" s="8">
        <f>実績データ!I456</f>
        <v>70</v>
      </c>
      <c r="H456" s="8" t="str">
        <f t="shared" si="22"/>
        <v>2026-06</v>
      </c>
      <c r="I456" s="8" t="str">
        <f t="shared" si="23"/>
        <v>月</v>
      </c>
    </row>
    <row r="457" spans="1:9" x14ac:dyDescent="0.15">
      <c r="A457" s="16">
        <f>実績データ!A457</f>
        <v>46203</v>
      </c>
      <c r="B457" s="8" t="str">
        <f>実績データ!C457</f>
        <v xml:space="preserve">D駐車場（横浜元町） </v>
      </c>
      <c r="C457" s="8" t="str">
        <f t="shared" si="21"/>
        <v>D駐車場（横浜元町）</v>
      </c>
      <c r="D457" s="8">
        <f>実績データ!F457</f>
        <v>127</v>
      </c>
      <c r="E457" s="17">
        <f>実績データ!G457</f>
        <v>159241</v>
      </c>
      <c r="F457" s="18">
        <f>実績データ!H457</f>
        <v>0.48312408935122109</v>
      </c>
      <c r="G457" s="8">
        <f>実績データ!I457</f>
        <v>71</v>
      </c>
      <c r="H457" s="8" t="str">
        <f t="shared" si="22"/>
        <v>2026-06</v>
      </c>
      <c r="I457" s="8" t="str">
        <f t="shared" si="23"/>
        <v>火</v>
      </c>
    </row>
    <row r="458" spans="1:9" x14ac:dyDescent="0.15">
      <c r="A458" s="16">
        <f>実績データ!A458</f>
        <v>46204</v>
      </c>
      <c r="B458" s="8" t="str">
        <f>実績データ!C458</f>
        <v>A駐車場 (新宿駅前)</v>
      </c>
      <c r="C458" s="8" t="str">
        <f t="shared" si="21"/>
        <v>A駐車場（新宿駅前）</v>
      </c>
      <c r="D458" s="8">
        <f>実績データ!F458</f>
        <v>189</v>
      </c>
      <c r="E458" s="17">
        <f>実績データ!G458</f>
        <v>222184</v>
      </c>
      <c r="F458" s="18">
        <f>実績データ!H458</f>
        <v>0.77399312015029065</v>
      </c>
      <c r="G458" s="8">
        <f>実績データ!I458</f>
        <v>76</v>
      </c>
      <c r="H458" s="8" t="str">
        <f t="shared" si="22"/>
        <v>2026-07</v>
      </c>
      <c r="I458" s="8" t="str">
        <f t="shared" si="23"/>
        <v>水</v>
      </c>
    </row>
    <row r="459" spans="1:9" x14ac:dyDescent="0.15">
      <c r="A459" s="16">
        <f>実績データ!A459</f>
        <v>46205</v>
      </c>
      <c r="B459" s="8" t="str">
        <f>実績データ!C459</f>
        <v xml:space="preserve"> C駐車場（池袋西口）</v>
      </c>
      <c r="C459" s="8" t="str">
        <f t="shared" si="21"/>
        <v>C駐車場（池袋西口）</v>
      </c>
      <c r="D459" s="8">
        <f>実績データ!F459</f>
        <v>97</v>
      </c>
      <c r="E459" s="17">
        <f>実績データ!G459</f>
        <v>113236</v>
      </c>
      <c r="F459" s="18">
        <f>実績データ!H459</f>
        <v>0.34562358743117599</v>
      </c>
      <c r="G459" s="8">
        <f>実績データ!I459</f>
        <v>62</v>
      </c>
      <c r="H459" s="8" t="str">
        <f t="shared" si="22"/>
        <v>2026-07</v>
      </c>
      <c r="I459" s="8" t="str">
        <f t="shared" si="23"/>
        <v>木</v>
      </c>
    </row>
    <row r="460" spans="1:9" x14ac:dyDescent="0.15">
      <c r="A460" s="16">
        <f>実績データ!A460</f>
        <v>46206</v>
      </c>
      <c r="B460" s="8" t="str">
        <f>実績データ!C460</f>
        <v>D駐車場 (横浜元町)</v>
      </c>
      <c r="C460" s="8" t="str">
        <f t="shared" si="21"/>
        <v>D駐車場（横浜元町）</v>
      </c>
      <c r="D460" s="8">
        <f>実績データ!F460</f>
        <v>139</v>
      </c>
      <c r="E460" s="17">
        <f>実績データ!G460</f>
        <v>180686</v>
      </c>
      <c r="F460" s="18">
        <f>実績データ!H460</f>
        <v>0.57216579102909482</v>
      </c>
      <c r="G460" s="8">
        <f>実績データ!I460</f>
        <v>63</v>
      </c>
      <c r="H460" s="8" t="str">
        <f t="shared" si="22"/>
        <v>2026-07</v>
      </c>
      <c r="I460" s="8" t="str">
        <f t="shared" si="23"/>
        <v>金</v>
      </c>
    </row>
    <row r="461" spans="1:9" x14ac:dyDescent="0.15">
      <c r="A461" s="16">
        <f>実績データ!A461</f>
        <v>46207</v>
      </c>
      <c r="B461" s="8" t="str">
        <f>実績データ!C461</f>
        <v xml:space="preserve">D駐車場（横浜元町） </v>
      </c>
      <c r="C461" s="8" t="str">
        <f t="shared" si="21"/>
        <v>D駐車場（横浜元町）</v>
      </c>
      <c r="D461" s="8">
        <f>実績データ!F461</f>
        <v>150</v>
      </c>
      <c r="E461" s="17">
        <f>実績データ!G461</f>
        <v>156079</v>
      </c>
      <c r="F461" s="18">
        <f>実績データ!H461</f>
        <v>0.61321508658806989</v>
      </c>
      <c r="G461" s="8">
        <f>実績データ!I461</f>
        <v>74</v>
      </c>
      <c r="H461" s="8" t="str">
        <f t="shared" si="22"/>
        <v>2026-07</v>
      </c>
      <c r="I461" s="8" t="str">
        <f t="shared" si="23"/>
        <v>土</v>
      </c>
    </row>
    <row r="462" spans="1:9" x14ac:dyDescent="0.15">
      <c r="A462" s="16">
        <f>実績データ!A462</f>
        <v>46208</v>
      </c>
      <c r="B462" s="8" t="str">
        <f>実績データ!C462</f>
        <v xml:space="preserve"> A駐車場（新宿駅前）</v>
      </c>
      <c r="C462" s="8" t="str">
        <f t="shared" si="21"/>
        <v>A駐車場（新宿駅前）</v>
      </c>
      <c r="D462" s="8">
        <f>実績データ!F462</f>
        <v>164</v>
      </c>
      <c r="E462" s="17">
        <f>実績データ!G462</f>
        <v>199419</v>
      </c>
      <c r="F462" s="18">
        <f>実績データ!H462</f>
        <v>0.58411982744802371</v>
      </c>
      <c r="G462" s="8">
        <f>実績データ!I462</f>
        <v>82</v>
      </c>
      <c r="H462" s="8" t="str">
        <f t="shared" si="22"/>
        <v>2026-07</v>
      </c>
      <c r="I462" s="8" t="str">
        <f t="shared" si="23"/>
        <v>日</v>
      </c>
    </row>
    <row r="463" spans="1:9" x14ac:dyDescent="0.15">
      <c r="A463" s="16">
        <f>実績データ!A463</f>
        <v>46209</v>
      </c>
      <c r="B463" s="8" t="str">
        <f>実績データ!C463</f>
        <v>D駐車場（横浜元町）</v>
      </c>
      <c r="C463" s="8" t="str">
        <f t="shared" si="21"/>
        <v>D駐車場（横浜元町）</v>
      </c>
      <c r="D463" s="8">
        <f>実績データ!F463</f>
        <v>136</v>
      </c>
      <c r="E463" s="17">
        <f>実績データ!G463</f>
        <v>166525</v>
      </c>
      <c r="F463" s="18">
        <f>実績データ!H463</f>
        <v>0.48342589852759882</v>
      </c>
      <c r="G463" s="8">
        <f>実績データ!I463</f>
        <v>90</v>
      </c>
      <c r="H463" s="8" t="str">
        <f t="shared" si="22"/>
        <v>2026-07</v>
      </c>
      <c r="I463" s="8" t="str">
        <f t="shared" si="23"/>
        <v>月</v>
      </c>
    </row>
    <row r="464" spans="1:9" x14ac:dyDescent="0.15">
      <c r="A464" s="16">
        <f>実績データ!A464</f>
        <v>46210</v>
      </c>
      <c r="B464" s="8" t="str">
        <f>実績データ!C464</f>
        <v>D駐車場 (横浜元町)</v>
      </c>
      <c r="C464" s="8" t="str">
        <f t="shared" si="21"/>
        <v>D駐車場（横浜元町）</v>
      </c>
      <c r="D464" s="8">
        <f>実績データ!F464</f>
        <v>140</v>
      </c>
      <c r="E464" s="17">
        <f>実績データ!G464</f>
        <v>167181</v>
      </c>
      <c r="F464" s="18">
        <f>実績データ!H464</f>
        <v>0.56692569737481779</v>
      </c>
      <c r="G464" s="8">
        <f>実績データ!I464</f>
        <v>57</v>
      </c>
      <c r="H464" s="8" t="str">
        <f t="shared" si="22"/>
        <v>2026-07</v>
      </c>
      <c r="I464" s="8" t="str">
        <f t="shared" si="23"/>
        <v>火</v>
      </c>
    </row>
    <row r="465" spans="1:9" x14ac:dyDescent="0.15">
      <c r="A465" s="16">
        <f>実績データ!A465</f>
        <v>46211</v>
      </c>
      <c r="B465" s="8" t="str">
        <f>実績データ!C465</f>
        <v xml:space="preserve">D駐車場（横浜元町） </v>
      </c>
      <c r="C465" s="8" t="str">
        <f t="shared" si="21"/>
        <v>D駐車場（横浜元町）</v>
      </c>
      <c r="D465" s="8">
        <f>実績データ!F465</f>
        <v>134</v>
      </c>
      <c r="E465" s="17">
        <f>実績データ!G465</f>
        <v>153280</v>
      </c>
      <c r="F465" s="18">
        <f>実績データ!H465</f>
        <v>0.53881100449481356</v>
      </c>
      <c r="G465" s="8">
        <f>実績データ!I465</f>
        <v>71</v>
      </c>
      <c r="H465" s="8" t="str">
        <f t="shared" si="22"/>
        <v>2026-07</v>
      </c>
      <c r="I465" s="8" t="str">
        <f t="shared" si="23"/>
        <v>水</v>
      </c>
    </row>
    <row r="466" spans="1:9" x14ac:dyDescent="0.15">
      <c r="A466" s="16">
        <f>実績データ!A466</f>
        <v>46212</v>
      </c>
      <c r="B466" s="8" t="str">
        <f>実績データ!C466</f>
        <v xml:space="preserve"> C駐車場（池袋西口）</v>
      </c>
      <c r="C466" s="8" t="str">
        <f t="shared" si="21"/>
        <v>C駐車場（池袋西口）</v>
      </c>
      <c r="D466" s="8">
        <f>実績データ!F466</f>
        <v>121</v>
      </c>
      <c r="E466" s="17">
        <f>実績データ!G466</f>
        <v>138220</v>
      </c>
      <c r="F466" s="18">
        <f>実績データ!H466</f>
        <v>0.46683508529015832</v>
      </c>
      <c r="G466" s="8">
        <f>実績データ!I466</f>
        <v>62</v>
      </c>
      <c r="H466" s="8" t="str">
        <f t="shared" si="22"/>
        <v>2026-07</v>
      </c>
      <c r="I466" s="8" t="str">
        <f t="shared" si="23"/>
        <v>木</v>
      </c>
    </row>
    <row r="467" spans="1:9" x14ac:dyDescent="0.15">
      <c r="A467" s="16">
        <f>実績データ!A467</f>
        <v>46213</v>
      </c>
      <c r="B467" s="8" t="str">
        <f>実績データ!C467</f>
        <v>C駐車場（池袋西口）</v>
      </c>
      <c r="C467" s="8" t="str">
        <f t="shared" si="21"/>
        <v>C駐車場（池袋西口）</v>
      </c>
      <c r="D467" s="8">
        <f>実績データ!F467</f>
        <v>121</v>
      </c>
      <c r="E467" s="17">
        <f>実績データ!G467</f>
        <v>140481</v>
      </c>
      <c r="F467" s="18">
        <f>実績データ!H467</f>
        <v>0.47527457259711192</v>
      </c>
      <c r="G467" s="8">
        <f>実績データ!I467</f>
        <v>71</v>
      </c>
      <c r="H467" s="8" t="str">
        <f t="shared" si="22"/>
        <v>2026-07</v>
      </c>
      <c r="I467" s="8" t="str">
        <f t="shared" si="23"/>
        <v>金</v>
      </c>
    </row>
    <row r="468" spans="1:9" x14ac:dyDescent="0.15">
      <c r="A468" s="16">
        <f>実績データ!A468</f>
        <v>46214</v>
      </c>
      <c r="B468" s="8" t="str">
        <f>実績データ!C468</f>
        <v>B駐車場 (渋谷南)</v>
      </c>
      <c r="C468" s="8" t="str">
        <f t="shared" si="21"/>
        <v>B駐車場（渋谷南）</v>
      </c>
      <c r="D468" s="8">
        <f>実績データ!F468</f>
        <v>195</v>
      </c>
      <c r="E468" s="17">
        <f>実績データ!G468</f>
        <v>267385</v>
      </c>
      <c r="F468" s="18">
        <f>実績データ!H468</f>
        <v>0.71975130301388757</v>
      </c>
      <c r="G468" s="8">
        <f>実績データ!I468</f>
        <v>83</v>
      </c>
      <c r="H468" s="8" t="str">
        <f t="shared" si="22"/>
        <v>2026-07</v>
      </c>
      <c r="I468" s="8" t="str">
        <f t="shared" si="23"/>
        <v>土</v>
      </c>
    </row>
    <row r="469" spans="1:9" x14ac:dyDescent="0.15">
      <c r="A469" s="16">
        <f>実績データ!A469</f>
        <v>46215</v>
      </c>
      <c r="B469" s="8" t="str">
        <f>実績データ!C469</f>
        <v xml:space="preserve"> A駐車場（新宿駅前）</v>
      </c>
      <c r="C469" s="8" t="str">
        <f t="shared" si="21"/>
        <v>A駐車場（新宿駅前）</v>
      </c>
      <c r="D469" s="8">
        <f>実績データ!F469</f>
        <v>185</v>
      </c>
      <c r="E469" s="17">
        <f>実績データ!G469</f>
        <v>222000</v>
      </c>
      <c r="F469" s="18">
        <f>実績データ!H469</f>
        <v>0.67654019557762224</v>
      </c>
      <c r="G469" s="8">
        <f>実績データ!I469</f>
        <v>63</v>
      </c>
      <c r="H469" s="8" t="str">
        <f t="shared" si="22"/>
        <v>2026-07</v>
      </c>
      <c r="I469" s="8" t="str">
        <f t="shared" si="23"/>
        <v>日</v>
      </c>
    </row>
    <row r="470" spans="1:9" x14ac:dyDescent="0.15">
      <c r="A470" s="16">
        <f>実績データ!A470</f>
        <v>46216</v>
      </c>
      <c r="B470" s="8" t="str">
        <f>実績データ!C470</f>
        <v>B駐車場 (渋谷南)</v>
      </c>
      <c r="C470" s="8" t="str">
        <f t="shared" si="21"/>
        <v>B駐車場（渋谷南）</v>
      </c>
      <c r="D470" s="8">
        <f>実績データ!F470</f>
        <v>167</v>
      </c>
      <c r="E470" s="17">
        <f>実績データ!G470</f>
        <v>206828</v>
      </c>
      <c r="F470" s="18">
        <f>実績データ!H470</f>
        <v>0.63846400827026339</v>
      </c>
      <c r="G470" s="8">
        <f>実績データ!I470</f>
        <v>67</v>
      </c>
      <c r="H470" s="8" t="str">
        <f t="shared" si="22"/>
        <v>2026-07</v>
      </c>
      <c r="I470" s="8" t="str">
        <f t="shared" si="23"/>
        <v>月</v>
      </c>
    </row>
    <row r="471" spans="1:9" x14ac:dyDescent="0.15">
      <c r="A471" s="16">
        <f>実績データ!A471</f>
        <v>46217</v>
      </c>
      <c r="B471" s="8" t="str">
        <f>実績データ!C471</f>
        <v>B駐車場 (渋谷南)</v>
      </c>
      <c r="C471" s="8" t="str">
        <f t="shared" si="21"/>
        <v>B駐車場（渋谷南）</v>
      </c>
      <c r="D471" s="8">
        <f>実績データ!F471</f>
        <v>161</v>
      </c>
      <c r="E471" s="17">
        <f>実績データ!G471</f>
        <v>192718</v>
      </c>
      <c r="F471" s="18">
        <f>実績データ!H471</f>
        <v>0.6257532958208557</v>
      </c>
      <c r="G471" s="8">
        <f>実績データ!I471</f>
        <v>74</v>
      </c>
      <c r="H471" s="8" t="str">
        <f t="shared" si="22"/>
        <v>2026-07</v>
      </c>
      <c r="I471" s="8" t="str">
        <f t="shared" si="23"/>
        <v>火</v>
      </c>
    </row>
    <row r="472" spans="1:9" x14ac:dyDescent="0.15">
      <c r="A472" s="16">
        <f>実績データ!A472</f>
        <v>46218</v>
      </c>
      <c r="B472" s="8" t="str">
        <f>実績データ!C472</f>
        <v xml:space="preserve">D駐車場（横浜元町） </v>
      </c>
      <c r="C472" s="8" t="str">
        <f t="shared" si="21"/>
        <v>D駐車場（横浜元町）</v>
      </c>
      <c r="D472" s="8">
        <f>実績データ!F472</f>
        <v>156</v>
      </c>
      <c r="E472" s="17">
        <f>実績データ!G472</f>
        <v>179090</v>
      </c>
      <c r="F472" s="18">
        <f>実績データ!H472</f>
        <v>0.60217367650071374</v>
      </c>
      <c r="G472" s="8">
        <f>実績データ!I472</f>
        <v>63</v>
      </c>
      <c r="H472" s="8" t="str">
        <f t="shared" si="22"/>
        <v>2026-07</v>
      </c>
      <c r="I472" s="8" t="str">
        <f t="shared" si="23"/>
        <v>水</v>
      </c>
    </row>
    <row r="473" spans="1:9" x14ac:dyDescent="0.15">
      <c r="A473" s="16">
        <f>実績データ!A473</f>
        <v>46219</v>
      </c>
      <c r="B473" s="8" t="str">
        <f>実績データ!C473</f>
        <v>B駐車場 (渋谷南)</v>
      </c>
      <c r="C473" s="8" t="str">
        <f t="shared" si="21"/>
        <v>B駐車場（渋谷南）</v>
      </c>
      <c r="D473" s="8">
        <f>実績データ!F473</f>
        <v>180</v>
      </c>
      <c r="E473" s="17">
        <f>実績データ!G473</f>
        <v>235640</v>
      </c>
      <c r="F473" s="18">
        <f>実績データ!H473</f>
        <v>0.72401865765818851</v>
      </c>
      <c r="G473" s="8">
        <f>実績データ!I473</f>
        <v>71</v>
      </c>
      <c r="H473" s="8" t="str">
        <f t="shared" si="22"/>
        <v>2026-07</v>
      </c>
      <c r="I473" s="8" t="str">
        <f t="shared" si="23"/>
        <v>木</v>
      </c>
    </row>
    <row r="474" spans="1:9" x14ac:dyDescent="0.15">
      <c r="A474" s="16">
        <f>実績データ!A474</f>
        <v>46220</v>
      </c>
      <c r="B474" s="8" t="str">
        <f>実績データ!C474</f>
        <v>B駐車場 (渋谷南)</v>
      </c>
      <c r="C474" s="8" t="str">
        <f t="shared" si="21"/>
        <v>B駐車場（渋谷南）</v>
      </c>
      <c r="D474" s="8">
        <f>実績データ!F474</f>
        <v>171</v>
      </c>
      <c r="E474" s="17">
        <f>実績データ!G474</f>
        <v>230431</v>
      </c>
      <c r="F474" s="18">
        <f>実績データ!H474</f>
        <v>0.62709301471326639</v>
      </c>
      <c r="G474" s="8">
        <f>実績データ!I474</f>
        <v>61</v>
      </c>
      <c r="H474" s="8" t="str">
        <f t="shared" si="22"/>
        <v>2026-07</v>
      </c>
      <c r="I474" s="8" t="str">
        <f t="shared" si="23"/>
        <v>金</v>
      </c>
    </row>
    <row r="475" spans="1:9" x14ac:dyDescent="0.15">
      <c r="A475" s="16">
        <f>実績データ!A475</f>
        <v>46221</v>
      </c>
      <c r="B475" s="8" t="str">
        <f>実績データ!C475</f>
        <v>C駐車場 (池袋西口)</v>
      </c>
      <c r="C475" s="8" t="str">
        <f t="shared" si="21"/>
        <v>C駐車場（池袋西口）</v>
      </c>
      <c r="D475" s="8">
        <f>実績データ!F475</f>
        <v>122</v>
      </c>
      <c r="E475" s="17">
        <f>実績データ!G475</f>
        <v>125510</v>
      </c>
      <c r="F475" s="18">
        <f>実績データ!H475</f>
        <v>0.42644957854603671</v>
      </c>
      <c r="G475" s="8">
        <f>実績データ!I475</f>
        <v>63</v>
      </c>
      <c r="H475" s="8" t="str">
        <f t="shared" si="22"/>
        <v>2026-07</v>
      </c>
      <c r="I475" s="8" t="str">
        <f t="shared" si="23"/>
        <v>土</v>
      </c>
    </row>
    <row r="476" spans="1:9" x14ac:dyDescent="0.15">
      <c r="A476" s="16">
        <f>実績データ!A476</f>
        <v>46222</v>
      </c>
      <c r="B476" s="8" t="str">
        <f>実績データ!C476</f>
        <v>D駐車場（横浜元町）</v>
      </c>
      <c r="C476" s="8" t="str">
        <f t="shared" si="21"/>
        <v>D駐車場（横浜元町）</v>
      </c>
      <c r="D476" s="8">
        <f>実績データ!F476</f>
        <v>132</v>
      </c>
      <c r="E476" s="17">
        <f>実績データ!G476</f>
        <v>140813</v>
      </c>
      <c r="F476" s="18">
        <f>実績データ!H476</f>
        <v>0.52706028715615638</v>
      </c>
      <c r="G476" s="8">
        <f>実績データ!I476</f>
        <v>70</v>
      </c>
      <c r="H476" s="8" t="str">
        <f t="shared" si="22"/>
        <v>2026-07</v>
      </c>
      <c r="I476" s="8" t="str">
        <f t="shared" si="23"/>
        <v>日</v>
      </c>
    </row>
    <row r="477" spans="1:9" x14ac:dyDescent="0.15">
      <c r="A477" s="16">
        <f>実績データ!A477</f>
        <v>46223</v>
      </c>
      <c r="B477" s="8" t="str">
        <f>実績データ!C477</f>
        <v>B駐車場（渋谷南）</v>
      </c>
      <c r="C477" s="8" t="str">
        <f t="shared" si="21"/>
        <v>B駐車場（渋谷南）</v>
      </c>
      <c r="D477" s="8">
        <f>実績データ!F477</f>
        <v>190</v>
      </c>
      <c r="E477" s="17">
        <f>実績データ!G477</f>
        <v>233720</v>
      </c>
      <c r="F477" s="18">
        <f>実績データ!H477</f>
        <v>0.73835732270357279</v>
      </c>
      <c r="G477" s="8">
        <f>実績データ!I477</f>
        <v>80</v>
      </c>
      <c r="H477" s="8" t="str">
        <f t="shared" si="22"/>
        <v>2026-07</v>
      </c>
      <c r="I477" s="8" t="str">
        <f t="shared" si="23"/>
        <v>月</v>
      </c>
    </row>
    <row r="478" spans="1:9" x14ac:dyDescent="0.15">
      <c r="A478" s="16">
        <f>実績データ!A478</f>
        <v>46224</v>
      </c>
      <c r="B478" s="8" t="str">
        <f>実績データ!C478</f>
        <v>C駐車場 (池袋西口)</v>
      </c>
      <c r="C478" s="8" t="str">
        <f t="shared" si="21"/>
        <v>C駐車場（池袋西口）</v>
      </c>
      <c r="D478" s="8">
        <f>実績データ!F478</f>
        <v>123</v>
      </c>
      <c r="E478" s="17">
        <f>実績データ!G478</f>
        <v>141235</v>
      </c>
      <c r="F478" s="18">
        <f>実績データ!H478</f>
        <v>0.51185509832524756</v>
      </c>
      <c r="G478" s="8">
        <f>実績データ!I478</f>
        <v>58</v>
      </c>
      <c r="H478" s="8" t="str">
        <f t="shared" si="22"/>
        <v>2026-07</v>
      </c>
      <c r="I478" s="8" t="str">
        <f t="shared" si="23"/>
        <v>火</v>
      </c>
    </row>
    <row r="479" spans="1:9" x14ac:dyDescent="0.15">
      <c r="A479" s="16">
        <f>実績データ!A479</f>
        <v>46225</v>
      </c>
      <c r="B479" s="8" t="str">
        <f>実績データ!C479</f>
        <v xml:space="preserve">B駐車場（渋谷南） </v>
      </c>
      <c r="C479" s="8" t="str">
        <f t="shared" si="21"/>
        <v>B駐車場（渋谷南）</v>
      </c>
      <c r="D479" s="8">
        <f>実績データ!F479</f>
        <v>130</v>
      </c>
      <c r="E479" s="17">
        <f>実績データ!G479</f>
        <v>159730</v>
      </c>
      <c r="F479" s="18">
        <f>実績データ!H479</f>
        <v>0.48214060392134572</v>
      </c>
      <c r="G479" s="8">
        <f>実績データ!I479</f>
        <v>66</v>
      </c>
      <c r="H479" s="8" t="str">
        <f t="shared" si="22"/>
        <v>2026-07</v>
      </c>
      <c r="I479" s="8" t="str">
        <f t="shared" si="23"/>
        <v>水</v>
      </c>
    </row>
    <row r="480" spans="1:9" x14ac:dyDescent="0.15">
      <c r="A480" s="16">
        <f>実績データ!A480</f>
        <v>46226</v>
      </c>
      <c r="B480" s="8" t="str">
        <f>実績データ!C480</f>
        <v>D駐車場 (横浜元町)</v>
      </c>
      <c r="C480" s="8" t="str">
        <f t="shared" si="21"/>
        <v>D駐車場（横浜元町）</v>
      </c>
      <c r="D480" s="8">
        <f>実績データ!F480</f>
        <v>162</v>
      </c>
      <c r="E480" s="17">
        <f>実績データ!G480</f>
        <v>180742</v>
      </c>
      <c r="F480" s="18">
        <f>実績データ!H480</f>
        <v>0.60606088572754613</v>
      </c>
      <c r="G480" s="8">
        <f>実績データ!I480</f>
        <v>79</v>
      </c>
      <c r="H480" s="8" t="str">
        <f t="shared" si="22"/>
        <v>2026-07</v>
      </c>
      <c r="I480" s="8" t="str">
        <f t="shared" si="23"/>
        <v>木</v>
      </c>
    </row>
    <row r="481" spans="1:9" x14ac:dyDescent="0.15">
      <c r="A481" s="16">
        <f>実績データ!A481</f>
        <v>46227</v>
      </c>
      <c r="B481" s="8" t="str">
        <f>実績データ!C481</f>
        <v>B駐車場 (渋谷南)</v>
      </c>
      <c r="C481" s="8" t="str">
        <f t="shared" si="21"/>
        <v>B駐車場（渋谷南）</v>
      </c>
      <c r="D481" s="8">
        <f>実績データ!F481</f>
        <v>139</v>
      </c>
      <c r="E481" s="17">
        <f>実績データ!G481</f>
        <v>157991</v>
      </c>
      <c r="F481" s="18">
        <f>実績データ!H481</f>
        <v>0.57975355428752984</v>
      </c>
      <c r="G481" s="8">
        <f>実績データ!I481</f>
        <v>67</v>
      </c>
      <c r="H481" s="8" t="str">
        <f t="shared" si="22"/>
        <v>2026-07</v>
      </c>
      <c r="I481" s="8" t="str">
        <f t="shared" si="23"/>
        <v>金</v>
      </c>
    </row>
    <row r="482" spans="1:9" x14ac:dyDescent="0.15">
      <c r="A482" s="16">
        <f>実績データ!A482</f>
        <v>46228</v>
      </c>
      <c r="B482" s="8" t="str">
        <f>実績データ!C482</f>
        <v>B駐車場 (渋谷南)</v>
      </c>
      <c r="C482" s="8" t="str">
        <f t="shared" si="21"/>
        <v>B駐車場（渋谷南）</v>
      </c>
      <c r="D482" s="8">
        <f>実績データ!F482</f>
        <v>171</v>
      </c>
      <c r="E482" s="17">
        <f>実績データ!G482</f>
        <v>219252</v>
      </c>
      <c r="F482" s="18">
        <f>実績データ!H482</f>
        <v>0.64844560181920574</v>
      </c>
      <c r="G482" s="8">
        <f>実績データ!I482</f>
        <v>73</v>
      </c>
      <c r="H482" s="8" t="str">
        <f t="shared" si="22"/>
        <v>2026-07</v>
      </c>
      <c r="I482" s="8" t="str">
        <f t="shared" si="23"/>
        <v>土</v>
      </c>
    </row>
    <row r="483" spans="1:9" x14ac:dyDescent="0.15">
      <c r="A483" s="16">
        <f>実績データ!A483</f>
        <v>46229</v>
      </c>
      <c r="B483" s="8" t="str">
        <f>実績データ!C483</f>
        <v>D駐車場（横浜元町）</v>
      </c>
      <c r="C483" s="8" t="str">
        <f t="shared" si="21"/>
        <v>D駐車場（横浜元町）</v>
      </c>
      <c r="D483" s="8">
        <f>実績データ!F483</f>
        <v>137</v>
      </c>
      <c r="E483" s="17">
        <f>実績データ!G483</f>
        <v>162741</v>
      </c>
      <c r="F483" s="18">
        <f>実績データ!H483</f>
        <v>0.52507052763785611</v>
      </c>
      <c r="G483" s="8">
        <f>実績データ!I483</f>
        <v>74</v>
      </c>
      <c r="H483" s="8" t="str">
        <f t="shared" si="22"/>
        <v>2026-07</v>
      </c>
      <c r="I483" s="8" t="str">
        <f t="shared" si="23"/>
        <v>日</v>
      </c>
    </row>
    <row r="484" spans="1:9" x14ac:dyDescent="0.15">
      <c r="A484" s="16">
        <f>実績データ!A484</f>
        <v>46230</v>
      </c>
      <c r="B484" s="8" t="str">
        <f>実績データ!C484</f>
        <v>D駐車場 (横浜元町)</v>
      </c>
      <c r="C484" s="8" t="str">
        <f t="shared" si="21"/>
        <v>D駐車場（横浜元町）</v>
      </c>
      <c r="D484" s="8">
        <f>実績データ!F484</f>
        <v>111</v>
      </c>
      <c r="E484" s="17">
        <f>実績データ!G484</f>
        <v>123132</v>
      </c>
      <c r="F484" s="18">
        <f>実績データ!H484</f>
        <v>0.44449500763297101</v>
      </c>
      <c r="G484" s="8">
        <f>実績データ!I484</f>
        <v>75</v>
      </c>
      <c r="H484" s="8" t="str">
        <f t="shared" si="22"/>
        <v>2026-07</v>
      </c>
      <c r="I484" s="8" t="str">
        <f t="shared" si="23"/>
        <v>月</v>
      </c>
    </row>
    <row r="485" spans="1:9" x14ac:dyDescent="0.15">
      <c r="A485" s="16">
        <f>実績データ!A485</f>
        <v>46231</v>
      </c>
      <c r="B485" s="8" t="str">
        <f>実績データ!C485</f>
        <v>D駐車場（横浜元町）</v>
      </c>
      <c r="C485" s="8" t="str">
        <f t="shared" si="21"/>
        <v>D駐車場（横浜元町）</v>
      </c>
      <c r="D485" s="8">
        <f>実績データ!F485</f>
        <v>119</v>
      </c>
      <c r="E485" s="17">
        <f>実績データ!G485</f>
        <v>124536</v>
      </c>
      <c r="F485" s="18">
        <f>実績データ!H485</f>
        <v>0.50693015533588115</v>
      </c>
      <c r="G485" s="8">
        <f>実績データ!I485</f>
        <v>75</v>
      </c>
      <c r="H485" s="8" t="str">
        <f t="shared" si="22"/>
        <v>2026-07</v>
      </c>
      <c r="I485" s="8" t="str">
        <f t="shared" si="23"/>
        <v>火</v>
      </c>
    </row>
    <row r="486" spans="1:9" x14ac:dyDescent="0.15">
      <c r="A486" s="16">
        <f>実績データ!A486</f>
        <v>46232</v>
      </c>
      <c r="B486" s="8" t="str">
        <f>実績データ!C486</f>
        <v>B駐車場 (渋谷南)</v>
      </c>
      <c r="C486" s="8" t="str">
        <f t="shared" si="21"/>
        <v>B駐車場（渋谷南）</v>
      </c>
      <c r="D486" s="8">
        <f>実績データ!F486</f>
        <v>141</v>
      </c>
      <c r="E486" s="17">
        <f>実績データ!G486</f>
        <v>182345</v>
      </c>
      <c r="F486" s="18">
        <f>実績データ!H486</f>
        <v>0.56304001809980031</v>
      </c>
      <c r="G486" s="8">
        <f>実績データ!I486</f>
        <v>81</v>
      </c>
      <c r="H486" s="8" t="str">
        <f t="shared" si="22"/>
        <v>2026-07</v>
      </c>
      <c r="I486" s="8" t="str">
        <f t="shared" si="23"/>
        <v>水</v>
      </c>
    </row>
    <row r="487" spans="1:9" x14ac:dyDescent="0.15">
      <c r="A487" s="16">
        <f>実績データ!A487</f>
        <v>46233</v>
      </c>
      <c r="B487" s="8" t="str">
        <f>実績データ!C487</f>
        <v>C駐車場（池袋西口）</v>
      </c>
      <c r="C487" s="8" t="str">
        <f t="shared" si="21"/>
        <v>C駐車場（池袋西口）</v>
      </c>
      <c r="D487" s="8">
        <f>実績データ!F487</f>
        <v>109</v>
      </c>
      <c r="E487" s="17">
        <f>実績データ!G487</f>
        <v>136174</v>
      </c>
      <c r="F487" s="18">
        <f>実績データ!H487</f>
        <v>0.41994890286334352</v>
      </c>
      <c r="G487" s="8">
        <f>実績データ!I487</f>
        <v>58</v>
      </c>
      <c r="H487" s="8" t="str">
        <f t="shared" si="22"/>
        <v>2026-07</v>
      </c>
      <c r="I487" s="8" t="str">
        <f t="shared" si="23"/>
        <v>木</v>
      </c>
    </row>
    <row r="488" spans="1:9" x14ac:dyDescent="0.15">
      <c r="A488" s="16">
        <f>実績データ!A488</f>
        <v>46234</v>
      </c>
      <c r="B488" s="8" t="str">
        <f>実績データ!C488</f>
        <v>D駐車場 (横浜元町)</v>
      </c>
      <c r="C488" s="8" t="str">
        <f t="shared" si="21"/>
        <v>D駐車場（横浜元町）</v>
      </c>
      <c r="D488" s="8">
        <f>実績データ!F488</f>
        <v>114</v>
      </c>
      <c r="E488" s="17">
        <f>実績データ!G488</f>
        <v>150554</v>
      </c>
      <c r="F488" s="18">
        <f>実績データ!H488</f>
        <v>0.46128112029865809</v>
      </c>
      <c r="G488" s="8">
        <f>実績データ!I488</f>
        <v>67</v>
      </c>
      <c r="H488" s="8" t="str">
        <f t="shared" si="22"/>
        <v>2026-07</v>
      </c>
      <c r="I488" s="8" t="str">
        <f t="shared" si="23"/>
        <v>金</v>
      </c>
    </row>
    <row r="489" spans="1:9" x14ac:dyDescent="0.15">
      <c r="A489" s="16">
        <f>実績データ!A489</f>
        <v>46235</v>
      </c>
      <c r="B489" s="8" t="str">
        <f>実績データ!C489</f>
        <v>D駐車場（横浜元町）</v>
      </c>
      <c r="C489" s="8" t="str">
        <f t="shared" si="21"/>
        <v>D駐車場（横浜元町）</v>
      </c>
      <c r="D489" s="8">
        <f>実績データ!F489</f>
        <v>159</v>
      </c>
      <c r="E489" s="17">
        <f>実績データ!G489</f>
        <v>171464</v>
      </c>
      <c r="F489" s="18">
        <f>実績データ!H489</f>
        <v>0.57865123480047354</v>
      </c>
      <c r="G489" s="8">
        <f>実績データ!I489</f>
        <v>76</v>
      </c>
      <c r="H489" s="8" t="str">
        <f t="shared" si="22"/>
        <v>2026-08</v>
      </c>
      <c r="I489" s="8" t="str">
        <f t="shared" si="23"/>
        <v>土</v>
      </c>
    </row>
    <row r="490" spans="1:9" x14ac:dyDescent="0.15">
      <c r="A490" s="16">
        <f>実績データ!A490</f>
        <v>46236</v>
      </c>
      <c r="B490" s="8" t="str">
        <f>実績データ!C490</f>
        <v>D駐車場（横浜元町）</v>
      </c>
      <c r="C490" s="8" t="str">
        <f t="shared" si="21"/>
        <v>D駐車場（横浜元町）</v>
      </c>
      <c r="D490" s="8">
        <f>実績データ!F490</f>
        <v>106</v>
      </c>
      <c r="E490" s="17">
        <f>実績データ!G490</f>
        <v>124853</v>
      </c>
      <c r="F490" s="18">
        <f>実績データ!H490</f>
        <v>0.38985348356148342</v>
      </c>
      <c r="G490" s="8">
        <f>実績データ!I490</f>
        <v>64</v>
      </c>
      <c r="H490" s="8" t="str">
        <f t="shared" si="22"/>
        <v>2026-08</v>
      </c>
      <c r="I490" s="8" t="str">
        <f t="shared" si="23"/>
        <v>日</v>
      </c>
    </row>
    <row r="491" spans="1:9" x14ac:dyDescent="0.15">
      <c r="A491" s="16">
        <f>実績データ!A491</f>
        <v>46237</v>
      </c>
      <c r="B491" s="8" t="str">
        <f>実績データ!C491</f>
        <v>A駐車場（新宿駅前）</v>
      </c>
      <c r="C491" s="8" t="str">
        <f t="shared" si="21"/>
        <v>A駐車場（新宿駅前）</v>
      </c>
      <c r="D491" s="8">
        <f>実績データ!F491</f>
        <v>155</v>
      </c>
      <c r="E491" s="17">
        <f>実績データ!G491</f>
        <v>183191</v>
      </c>
      <c r="F491" s="18">
        <f>実績データ!H491</f>
        <v>0.57950930464419537</v>
      </c>
      <c r="G491" s="8">
        <f>実績データ!I491</f>
        <v>67</v>
      </c>
      <c r="H491" s="8" t="str">
        <f t="shared" si="22"/>
        <v>2026-08</v>
      </c>
      <c r="I491" s="8" t="str">
        <f t="shared" si="23"/>
        <v>月</v>
      </c>
    </row>
    <row r="492" spans="1:9" x14ac:dyDescent="0.15">
      <c r="A492" s="16">
        <f>実績データ!A492</f>
        <v>46238</v>
      </c>
      <c r="B492" s="8" t="str">
        <f>実績データ!C492</f>
        <v>D駐車場 (横浜元町)</v>
      </c>
      <c r="C492" s="8" t="str">
        <f t="shared" si="21"/>
        <v>D駐車場（横浜元町）</v>
      </c>
      <c r="D492" s="8">
        <f>実績データ!F492</f>
        <v>86</v>
      </c>
      <c r="E492" s="17">
        <f>実績データ!G492</f>
        <v>77974</v>
      </c>
      <c r="F492" s="18">
        <f>実績データ!H492</f>
        <v>0.33037416610140741</v>
      </c>
      <c r="G492" s="8">
        <f>実績データ!I492</f>
        <v>65</v>
      </c>
      <c r="H492" s="8" t="str">
        <f t="shared" si="22"/>
        <v>2026-08</v>
      </c>
      <c r="I492" s="8" t="str">
        <f t="shared" si="23"/>
        <v>火</v>
      </c>
    </row>
    <row r="493" spans="1:9" x14ac:dyDescent="0.15">
      <c r="A493" s="16">
        <f>実績データ!A493</f>
        <v>46239</v>
      </c>
      <c r="B493" s="8" t="str">
        <f>実績データ!C493</f>
        <v xml:space="preserve"> A駐車場（新宿駅前）</v>
      </c>
      <c r="C493" s="8" t="str">
        <f t="shared" si="21"/>
        <v>A駐車場（新宿駅前）</v>
      </c>
      <c r="D493" s="8">
        <f>実績データ!F493</f>
        <v>168</v>
      </c>
      <c r="E493" s="17">
        <f>実績データ!G493</f>
        <v>207054</v>
      </c>
      <c r="F493" s="18">
        <f>実績データ!H493</f>
        <v>0.6584210024661612</v>
      </c>
      <c r="G493" s="8">
        <f>実績データ!I493</f>
        <v>62</v>
      </c>
      <c r="H493" s="8" t="str">
        <f t="shared" si="22"/>
        <v>2026-08</v>
      </c>
      <c r="I493" s="8" t="str">
        <f t="shared" si="23"/>
        <v>水</v>
      </c>
    </row>
    <row r="494" spans="1:9" x14ac:dyDescent="0.15">
      <c r="A494" s="16">
        <f>実績データ!A494</f>
        <v>46240</v>
      </c>
      <c r="B494" s="8" t="str">
        <f>実績データ!C494</f>
        <v>D駐車場 (横浜元町)</v>
      </c>
      <c r="C494" s="8" t="str">
        <f t="shared" si="21"/>
        <v>D駐車場（横浜元町）</v>
      </c>
      <c r="D494" s="8">
        <f>実績データ!F494</f>
        <v>94</v>
      </c>
      <c r="E494" s="17">
        <f>実績データ!G494</f>
        <v>113673</v>
      </c>
      <c r="F494" s="18">
        <f>実績データ!H494</f>
        <v>0.34744819471823529</v>
      </c>
      <c r="G494" s="8">
        <f>実績データ!I494</f>
        <v>77</v>
      </c>
      <c r="H494" s="8" t="str">
        <f t="shared" si="22"/>
        <v>2026-08</v>
      </c>
      <c r="I494" s="8" t="str">
        <f t="shared" si="23"/>
        <v>木</v>
      </c>
    </row>
    <row r="495" spans="1:9" x14ac:dyDescent="0.15">
      <c r="A495" s="16">
        <f>実績データ!A495</f>
        <v>46241</v>
      </c>
      <c r="B495" s="8" t="str">
        <f>実績データ!C495</f>
        <v xml:space="preserve"> A駐車場（新宿駅前）</v>
      </c>
      <c r="C495" s="8" t="str">
        <f t="shared" si="21"/>
        <v>A駐車場（新宿駅前）</v>
      </c>
      <c r="D495" s="8">
        <f>実績データ!F495</f>
        <v>163</v>
      </c>
      <c r="E495" s="17">
        <f>実績データ!G495</f>
        <v>182942</v>
      </c>
      <c r="F495" s="18">
        <f>実績データ!H495</f>
        <v>0.62279588562232979</v>
      </c>
      <c r="G495" s="8">
        <f>実績データ!I495</f>
        <v>69</v>
      </c>
      <c r="H495" s="8" t="str">
        <f t="shared" si="22"/>
        <v>2026-08</v>
      </c>
      <c r="I495" s="8" t="str">
        <f t="shared" si="23"/>
        <v>金</v>
      </c>
    </row>
    <row r="496" spans="1:9" x14ac:dyDescent="0.15">
      <c r="A496" s="16">
        <f>実績データ!A496</f>
        <v>46242</v>
      </c>
      <c r="B496" s="8" t="str">
        <f>実績データ!C496</f>
        <v xml:space="preserve"> A駐車場（新宿駅前）</v>
      </c>
      <c r="C496" s="8" t="str">
        <f t="shared" si="21"/>
        <v>A駐車場（新宿駅前）</v>
      </c>
      <c r="D496" s="8">
        <f>実績データ!F496</f>
        <v>167</v>
      </c>
      <c r="E496" s="17">
        <f>実績データ!G496</f>
        <v>230636</v>
      </c>
      <c r="F496" s="18">
        <f>実績データ!H496</f>
        <v>0.5945013620728985</v>
      </c>
      <c r="G496" s="8">
        <f>実績データ!I496</f>
        <v>82</v>
      </c>
      <c r="H496" s="8" t="str">
        <f t="shared" si="22"/>
        <v>2026-08</v>
      </c>
      <c r="I496" s="8" t="str">
        <f t="shared" si="23"/>
        <v>土</v>
      </c>
    </row>
    <row r="497" spans="1:9" x14ac:dyDescent="0.15">
      <c r="A497" s="16">
        <f>実績データ!A497</f>
        <v>46243</v>
      </c>
      <c r="B497" s="8" t="str">
        <f>実績データ!C497</f>
        <v xml:space="preserve">B駐車場（渋谷南） </v>
      </c>
      <c r="C497" s="8" t="str">
        <f t="shared" si="21"/>
        <v>B駐車場（渋谷南）</v>
      </c>
      <c r="D497" s="8">
        <f>実績データ!F497</f>
        <v>181</v>
      </c>
      <c r="E497" s="17">
        <f>実績データ!G497</f>
        <v>233472</v>
      </c>
      <c r="F497" s="18">
        <f>実績データ!H497</f>
        <v>0.70907811752260863</v>
      </c>
      <c r="G497" s="8">
        <f>実績データ!I497</f>
        <v>68</v>
      </c>
      <c r="H497" s="8" t="str">
        <f t="shared" si="22"/>
        <v>2026-08</v>
      </c>
      <c r="I497" s="8" t="str">
        <f t="shared" si="23"/>
        <v>日</v>
      </c>
    </row>
    <row r="498" spans="1:9" x14ac:dyDescent="0.15">
      <c r="A498" s="16">
        <f>実績データ!A498</f>
        <v>46244</v>
      </c>
      <c r="B498" s="8" t="str">
        <f>実績データ!C498</f>
        <v>A駐車場 (新宿駅前)</v>
      </c>
      <c r="C498" s="8" t="str">
        <f t="shared" si="21"/>
        <v>A駐車場（新宿駅前）</v>
      </c>
      <c r="D498" s="8">
        <f>実績データ!F498</f>
        <v>140</v>
      </c>
      <c r="E498" s="17">
        <f>実績データ!G498</f>
        <v>165760</v>
      </c>
      <c r="F498" s="18">
        <f>実績データ!H498</f>
        <v>0.54097432240860177</v>
      </c>
      <c r="G498" s="8">
        <f>実績データ!I498</f>
        <v>72</v>
      </c>
      <c r="H498" s="8" t="str">
        <f t="shared" si="22"/>
        <v>2026-08</v>
      </c>
      <c r="I498" s="8" t="str">
        <f t="shared" si="23"/>
        <v>月</v>
      </c>
    </row>
    <row r="499" spans="1:9" x14ac:dyDescent="0.15">
      <c r="A499" s="16">
        <f>実績データ!A499</f>
        <v>46245</v>
      </c>
      <c r="B499" s="8" t="str">
        <f>実績データ!C499</f>
        <v>C駐車場（池袋西口）</v>
      </c>
      <c r="C499" s="8" t="str">
        <f t="shared" si="21"/>
        <v>C駐車場（池袋西口）</v>
      </c>
      <c r="D499" s="8">
        <f>実績データ!F499</f>
        <v>122</v>
      </c>
      <c r="E499" s="17">
        <f>実績データ!G499</f>
        <v>164298</v>
      </c>
      <c r="F499" s="18">
        <f>実績データ!H499</f>
        <v>0.46559438969177908</v>
      </c>
      <c r="G499" s="8">
        <f>実績データ!I499</f>
        <v>62</v>
      </c>
      <c r="H499" s="8" t="str">
        <f t="shared" si="22"/>
        <v>2026-08</v>
      </c>
      <c r="I499" s="8" t="str">
        <f t="shared" si="23"/>
        <v>火</v>
      </c>
    </row>
    <row r="500" spans="1:9" x14ac:dyDescent="0.15">
      <c r="A500" s="16">
        <f>実績データ!A500</f>
        <v>46246</v>
      </c>
      <c r="B500" s="8" t="str">
        <f>実績データ!C500</f>
        <v>B駐車場 (渋谷南)</v>
      </c>
      <c r="C500" s="8" t="str">
        <f t="shared" si="21"/>
        <v>B駐車場（渋谷南）</v>
      </c>
      <c r="D500" s="8">
        <f>実績データ!F500</f>
        <v>146</v>
      </c>
      <c r="E500" s="17">
        <f>実績データ!G500</f>
        <v>174901</v>
      </c>
      <c r="F500" s="18">
        <f>実績データ!H500</f>
        <v>0.600766330198373</v>
      </c>
      <c r="G500" s="8">
        <f>実績データ!I500</f>
        <v>85</v>
      </c>
      <c r="H500" s="8" t="str">
        <f t="shared" si="22"/>
        <v>2026-08</v>
      </c>
      <c r="I500" s="8" t="str">
        <f t="shared" si="23"/>
        <v>水</v>
      </c>
    </row>
    <row r="501" spans="1:9" x14ac:dyDescent="0.15">
      <c r="A501" s="16">
        <f>実績データ!A501</f>
        <v>46247</v>
      </c>
      <c r="B501" s="8" t="str">
        <f>実績データ!C501</f>
        <v xml:space="preserve"> A駐車場（新宿駅前）</v>
      </c>
      <c r="C501" s="8" t="str">
        <f t="shared" si="21"/>
        <v>A駐車場（新宿駅前）</v>
      </c>
      <c r="D501" s="8">
        <f>実績データ!F501</f>
        <v>159</v>
      </c>
      <c r="E501" s="17">
        <f>実績データ!G501</f>
        <v>198316</v>
      </c>
      <c r="F501" s="18">
        <f>実績データ!H501</f>
        <v>0.65744593535796259</v>
      </c>
      <c r="G501" s="8">
        <f>実績データ!I501</f>
        <v>79</v>
      </c>
      <c r="H501" s="8" t="str">
        <f t="shared" si="22"/>
        <v>2026-08</v>
      </c>
      <c r="I501" s="8" t="str">
        <f t="shared" si="23"/>
        <v>木</v>
      </c>
    </row>
  </sheetData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workbookViewId="0">
      <selection activeCell="B23" sqref="B23:D23"/>
    </sheetView>
  </sheetViews>
  <sheetFormatPr defaultRowHeight="13.5" x14ac:dyDescent="0.15"/>
  <cols>
    <col min="1" max="1" width="28" customWidth="1"/>
    <col min="2" max="2" width="25" customWidth="1"/>
    <col min="3" max="3" width="22.375" bestFit="1" customWidth="1"/>
    <col min="4" max="4" width="65" customWidth="1"/>
  </cols>
  <sheetData>
    <row r="1" spans="1:4" ht="18.75" x14ac:dyDescent="0.15">
      <c r="A1" s="33" t="s">
        <v>56</v>
      </c>
      <c r="B1" s="34"/>
      <c r="C1" s="34"/>
      <c r="D1" s="34"/>
    </row>
    <row r="3" spans="1:4" x14ac:dyDescent="0.15">
      <c r="A3" s="9" t="s">
        <v>57</v>
      </c>
      <c r="B3" s="9" t="s">
        <v>58</v>
      </c>
      <c r="C3" s="9" t="s">
        <v>59</v>
      </c>
      <c r="D3" s="9" t="s">
        <v>60</v>
      </c>
    </row>
    <row r="4" spans="1:4" x14ac:dyDescent="0.15">
      <c r="A4" s="6" t="s">
        <v>61</v>
      </c>
      <c r="B4" s="10">
        <f>COUNT(クレンジング!D2:D501)</f>
        <v>500</v>
      </c>
      <c r="C4" s="6" t="s">
        <v>62</v>
      </c>
      <c r="D4" s="6" t="s">
        <v>63</v>
      </c>
    </row>
    <row r="5" spans="1:4" x14ac:dyDescent="0.15">
      <c r="A5" s="6" t="s">
        <v>137</v>
      </c>
      <c r="B5" s="19">
        <f>AVERAGE(クレンジング!D2:D501)</f>
        <v>151.13</v>
      </c>
      <c r="C5" s="6" t="s">
        <v>65</v>
      </c>
      <c r="D5" s="6" t="s">
        <v>66</v>
      </c>
    </row>
    <row r="6" spans="1:4" x14ac:dyDescent="0.15">
      <c r="A6" s="6" t="s">
        <v>136</v>
      </c>
      <c r="B6" s="19">
        <f>MEDIAN(クレンジング!D2:D501)</f>
        <v>149</v>
      </c>
      <c r="C6" s="6" t="s">
        <v>67</v>
      </c>
      <c r="D6" s="6" t="s">
        <v>68</v>
      </c>
    </row>
    <row r="7" spans="1:4" x14ac:dyDescent="0.15">
      <c r="A7" s="6" t="s">
        <v>69</v>
      </c>
      <c r="B7" s="10">
        <f>MAX(クレンジング!D2:D501)</f>
        <v>255</v>
      </c>
      <c r="C7" s="6" t="s">
        <v>70</v>
      </c>
      <c r="D7" s="6" t="s">
        <v>71</v>
      </c>
    </row>
    <row r="8" spans="1:4" x14ac:dyDescent="0.15">
      <c r="A8" s="6" t="s">
        <v>72</v>
      </c>
      <c r="B8" s="10">
        <f>MIN(クレンジング!D2:D501)</f>
        <v>60</v>
      </c>
      <c r="C8" s="6" t="s">
        <v>73</v>
      </c>
      <c r="D8" s="6" t="s">
        <v>74</v>
      </c>
    </row>
    <row r="9" spans="1:4" x14ac:dyDescent="0.15">
      <c r="A9" s="6" t="s">
        <v>75</v>
      </c>
      <c r="B9" s="19">
        <f>STDEVP(クレンジング!D2:D501)</f>
        <v>35.128978066547852</v>
      </c>
      <c r="C9" s="6" t="s">
        <v>76</v>
      </c>
      <c r="D9" s="6" t="s">
        <v>77</v>
      </c>
    </row>
    <row r="10" spans="1:4" x14ac:dyDescent="0.15">
      <c r="A10" s="6" t="s">
        <v>138</v>
      </c>
      <c r="B10" s="14">
        <f>AVERAGE(クレンジング!E2:E501)</f>
        <v>182647.924</v>
      </c>
      <c r="C10" s="6" t="s">
        <v>65</v>
      </c>
      <c r="D10" s="6" t="s">
        <v>78</v>
      </c>
    </row>
    <row r="11" spans="1:4" x14ac:dyDescent="0.15">
      <c r="A11" s="6" t="s">
        <v>79</v>
      </c>
      <c r="B11" s="14">
        <f>STDEVP(クレンジング!E2:E501)</f>
        <v>46165.80685111248</v>
      </c>
      <c r="C11" s="6" t="s">
        <v>133</v>
      </c>
      <c r="D11" s="6" t="s">
        <v>80</v>
      </c>
    </row>
    <row r="14" spans="1:4" x14ac:dyDescent="0.15">
      <c r="A14" s="35" t="s">
        <v>81</v>
      </c>
      <c r="B14" s="34"/>
      <c r="C14" s="34"/>
      <c r="D14" s="34"/>
    </row>
    <row r="15" spans="1:4" x14ac:dyDescent="0.15">
      <c r="A15" s="9" t="s">
        <v>57</v>
      </c>
      <c r="B15" s="9" t="s">
        <v>58</v>
      </c>
      <c r="C15" s="9" t="s">
        <v>59</v>
      </c>
      <c r="D15" s="9" t="s">
        <v>82</v>
      </c>
    </row>
    <row r="16" spans="1:4" x14ac:dyDescent="0.15">
      <c r="A16" s="6" t="s">
        <v>83</v>
      </c>
      <c r="B16" s="20">
        <f>CORREL(クレンジング!D2:D501,クレンジング!E2:E501)</f>
        <v>0.96601688078207093</v>
      </c>
      <c r="C16" s="6" t="s">
        <v>84</v>
      </c>
      <c r="D16" s="6" t="s">
        <v>85</v>
      </c>
    </row>
    <row r="17" spans="1:4" x14ac:dyDescent="0.15">
      <c r="A17" s="6" t="s">
        <v>86</v>
      </c>
      <c r="B17" s="21">
        <f>SLOPE(クレンジング!E2:E501,クレンジング!D2:D501)</f>
        <v>1269.5202419101229</v>
      </c>
      <c r="C17" s="6" t="s">
        <v>87</v>
      </c>
      <c r="D17" s="6" t="s">
        <v>88</v>
      </c>
    </row>
    <row r="18" spans="1:4" x14ac:dyDescent="0.15">
      <c r="A18" s="6" t="s">
        <v>89</v>
      </c>
      <c r="B18" s="21">
        <f>INTERCEPT(クレンジング!E2:E501,クレンジング!D2:D501)</f>
        <v>-9214.6701598768705</v>
      </c>
      <c r="C18" s="6" t="s">
        <v>90</v>
      </c>
      <c r="D18" s="6" t="s">
        <v>91</v>
      </c>
    </row>
    <row r="19" spans="1:4" x14ac:dyDescent="0.15">
      <c r="A19" s="6" t="s">
        <v>92</v>
      </c>
      <c r="B19" s="14">
        <f>FORECAST(160,クレンジング!E2:E501,クレンジング!D2:D501)</f>
        <v>193908.56854574278</v>
      </c>
      <c r="C19" s="6" t="s">
        <v>134</v>
      </c>
      <c r="D19" s="6" t="s">
        <v>93</v>
      </c>
    </row>
    <row r="22" spans="1:4" x14ac:dyDescent="0.15">
      <c r="A22" s="8" t="s">
        <v>148</v>
      </c>
      <c r="B22" s="8" t="str">
        <f>"y = "&amp;TEXT(B17,"#,##0.0")&amp;"x "&amp;TEXT(B18,"+#,##0;-#,##0;0")</f>
        <v>y = 1,269.5x -9,215</v>
      </c>
    </row>
    <row r="23" spans="1:4" x14ac:dyDescent="0.15">
      <c r="B23" s="34"/>
      <c r="C23" s="34"/>
      <c r="D23" s="34"/>
    </row>
  </sheetData>
  <mergeCells count="3">
    <mergeCell ref="A1:D1"/>
    <mergeCell ref="B23:D23"/>
    <mergeCell ref="A14:D14"/>
  </mergeCells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"/>
  <sheetViews>
    <sheetView showGridLines="0" topLeftCell="A16" zoomScale="85" zoomScaleNormal="85" workbookViewId="0">
      <selection activeCell="A47" sqref="A47"/>
    </sheetView>
  </sheetViews>
  <sheetFormatPr defaultRowHeight="13.5" x14ac:dyDescent="0.15"/>
  <cols>
    <col min="1" max="1" width="18.75" bestFit="1" customWidth="1"/>
    <col min="2" max="9" width="12.625" customWidth="1"/>
  </cols>
  <sheetData>
    <row r="1" spans="1:6" ht="18.75" x14ac:dyDescent="0.15">
      <c r="A1" s="33" t="s">
        <v>94</v>
      </c>
      <c r="B1" s="34"/>
      <c r="C1" s="34"/>
      <c r="D1" s="34"/>
      <c r="E1" s="34"/>
      <c r="F1" s="34"/>
    </row>
    <row r="3" spans="1:6" x14ac:dyDescent="0.15">
      <c r="A3" s="25" t="s">
        <v>139</v>
      </c>
      <c r="B3" s="24"/>
      <c r="C3" s="24"/>
      <c r="D3" s="24"/>
      <c r="E3" s="24"/>
      <c r="F3" s="24"/>
    </row>
    <row r="4" spans="1:6" x14ac:dyDescent="0.15">
      <c r="A4" s="9" t="s">
        <v>95</v>
      </c>
      <c r="B4" s="9" t="s">
        <v>96</v>
      </c>
      <c r="C4" s="9" t="s">
        <v>97</v>
      </c>
      <c r="D4" s="9" t="s">
        <v>64</v>
      </c>
      <c r="E4" s="9" t="s">
        <v>98</v>
      </c>
      <c r="F4" s="9" t="s">
        <v>99</v>
      </c>
    </row>
    <row r="5" spans="1:6" x14ac:dyDescent="0.15">
      <c r="A5" s="6" t="s">
        <v>45</v>
      </c>
      <c r="B5" s="6">
        <f>SUMIF(クレンジング!$C$2:$C$501,A5,クレンジング!$D$2:$D$501)</f>
        <v>21024</v>
      </c>
      <c r="C5" s="14">
        <f>SUMIF(クレンジング!$C$2:$C$501,A5,クレンジング!$E$2:$E$501)</f>
        <v>25658261</v>
      </c>
      <c r="D5" s="6">
        <f>AVERAGEIF(クレンジング!$C$2:$C$501,A5,クレンジング!$D$2:$D$501)</f>
        <v>179.69230769230768</v>
      </c>
      <c r="E5" s="15">
        <f>AVERAGEIF(クレンジング!$C$2:$C$501,A5,クレンジング!$F$2:$F$501)</f>
        <v>0.68804875334537952</v>
      </c>
      <c r="F5" s="15">
        <f>C5/SUM($C$5:$C$8)</f>
        <v>0.28095869296603665</v>
      </c>
    </row>
    <row r="6" spans="1:6" x14ac:dyDescent="0.15">
      <c r="A6" s="6" t="s">
        <v>51</v>
      </c>
      <c r="B6" s="6">
        <f>SUMIF(クレンジング!$C$2:$C$501,A6,クレンジング!$D$2:$D$501)</f>
        <v>22704</v>
      </c>
      <c r="C6" s="14">
        <f>SUMIF(クレンジング!$C$2:$C$501,A6,クレンジング!$E$2:$E$501)</f>
        <v>28019519</v>
      </c>
      <c r="D6" s="6">
        <f>AVERAGEIF(クレンジング!$C$2:$C$501,A6,クレンジング!$D$2:$D$501)</f>
        <v>176</v>
      </c>
      <c r="E6" s="15">
        <f>AVERAGEIF(クレンジング!$C$2:$C$501,A6,クレンジング!$F$2:$F$501)</f>
        <v>0.68132086501900591</v>
      </c>
      <c r="F6" s="15">
        <f>C6/SUM($C$5:$C$8)</f>
        <v>0.30681453570750689</v>
      </c>
    </row>
    <row r="7" spans="1:6" x14ac:dyDescent="0.15">
      <c r="A7" s="6" t="s">
        <v>37</v>
      </c>
      <c r="B7" s="6">
        <f>SUMIF(クレンジング!$C$2:$C$501,A7,クレンジング!$D$2:$D$501)</f>
        <v>15642</v>
      </c>
      <c r="C7" s="14">
        <f>SUMIF(クレンジング!$C$2:$C$501,A7,クレンジング!$E$2:$E$501)</f>
        <v>18628589</v>
      </c>
      <c r="D7" s="6">
        <f>AVERAGEIF(クレンジング!$C$2:$C$501,A7,クレンジング!$D$2:$D$501)</f>
        <v>126.14516129032258</v>
      </c>
      <c r="E7" s="15">
        <f>AVERAGEIF(クレンジング!$C$2:$C$501,A7,クレンジング!$F$2:$F$501)</f>
        <v>0.48485668482497052</v>
      </c>
      <c r="F7" s="15">
        <f>C7/SUM($C$5:$C$8)</f>
        <v>0.20398358319145199</v>
      </c>
    </row>
    <row r="8" spans="1:6" x14ac:dyDescent="0.15">
      <c r="A8" s="6" t="s">
        <v>54</v>
      </c>
      <c r="B8" s="6">
        <f>SUMIF(クレンジング!$C$2:$C$501,A8,クレンジング!$D$2:$D$501)</f>
        <v>16195</v>
      </c>
      <c r="C8" s="14">
        <f>SUMIF(クレンジング!$C$2:$C$501,A8,クレンジング!$E$2:$E$501)</f>
        <v>19017593</v>
      </c>
      <c r="D8" s="6">
        <f>AVERAGEIF(クレンジング!$C$2:$C$501,A8,クレンジング!$D$2:$D$501)</f>
        <v>124.57692307692308</v>
      </c>
      <c r="E8" s="15">
        <f>AVERAGEIF(クレンジング!$C$2:$C$501,A8,クレンジング!$F$2:$F$501)</f>
        <v>0.47972641577336678</v>
      </c>
      <c r="F8" s="15">
        <f>C8/SUM($C$5:$C$8)</f>
        <v>0.20824318813500448</v>
      </c>
    </row>
    <row r="9" spans="1:6" x14ac:dyDescent="0.15">
      <c r="A9" s="11" t="s">
        <v>100</v>
      </c>
      <c r="B9" s="11">
        <f>SUM(B5:B8)</f>
        <v>75565</v>
      </c>
      <c r="C9" s="22">
        <f>SUM(C5:C8)</f>
        <v>91323962</v>
      </c>
      <c r="D9" s="11">
        <f>AVERAGE(クレンジング!D2:D501)</f>
        <v>151.13</v>
      </c>
      <c r="E9" s="23">
        <f>AVERAGE(クレンジング!F2:F501)</f>
        <v>0.58175751739539061</v>
      </c>
      <c r="F9" s="23">
        <f>SUM(F5:F8)</f>
        <v>1</v>
      </c>
    </row>
    <row r="10" spans="1:6" s="24" customFormat="1" x14ac:dyDescent="0.15">
      <c r="A10" s="29"/>
      <c r="B10" s="29"/>
      <c r="C10" s="30"/>
      <c r="D10" s="29"/>
      <c r="E10" s="31"/>
      <c r="F10" s="31"/>
    </row>
    <row r="11" spans="1:6" s="24" customFormat="1" x14ac:dyDescent="0.15">
      <c r="A11" s="36"/>
      <c r="B11" s="34"/>
      <c r="C11" s="34"/>
      <c r="D11" s="34"/>
      <c r="E11" s="34"/>
      <c r="F11" s="34"/>
    </row>
    <row r="12" spans="1:6" s="24" customFormat="1" x14ac:dyDescent="0.15">
      <c r="A12"/>
      <c r="B12"/>
      <c r="C12"/>
      <c r="D12"/>
      <c r="E12"/>
      <c r="F12"/>
    </row>
    <row r="13" spans="1:6" s="24" customFormat="1" x14ac:dyDescent="0.15">
      <c r="A13"/>
      <c r="B13"/>
      <c r="C13"/>
      <c r="D13"/>
      <c r="E13"/>
      <c r="F13"/>
    </row>
    <row r="14" spans="1:6" s="24" customFormat="1" x14ac:dyDescent="0.15">
      <c r="A14"/>
      <c r="B14"/>
      <c r="C14"/>
      <c r="D14"/>
      <c r="E14"/>
      <c r="F14"/>
    </row>
    <row r="15" spans="1:6" s="24" customFormat="1" x14ac:dyDescent="0.15">
      <c r="A15"/>
      <c r="B15"/>
      <c r="C15"/>
      <c r="D15"/>
      <c r="E15"/>
      <c r="F15"/>
    </row>
    <row r="16" spans="1:6" s="24" customFormat="1" x14ac:dyDescent="0.15">
      <c r="A16"/>
      <c r="B16"/>
      <c r="C16"/>
      <c r="D16"/>
      <c r="E16"/>
      <c r="F16"/>
    </row>
    <row r="17" spans="1:6" s="24" customFormat="1" x14ac:dyDescent="0.15">
      <c r="A17"/>
      <c r="B17"/>
      <c r="C17"/>
      <c r="D17"/>
      <c r="E17"/>
      <c r="F17"/>
    </row>
    <row r="18" spans="1:6" s="24" customFormat="1" x14ac:dyDescent="0.15">
      <c r="A18" s="32"/>
      <c r="B18" s="32"/>
      <c r="C18" s="32"/>
      <c r="D18" s="29"/>
      <c r="E18" s="31"/>
      <c r="F18" s="31"/>
    </row>
    <row r="19" spans="1:6" s="24" customFormat="1" x14ac:dyDescent="0.15">
      <c r="A19" s="32"/>
      <c r="B19" s="32"/>
      <c r="C19" s="32"/>
      <c r="D19" s="29"/>
      <c r="E19" s="31"/>
      <c r="F19" s="31"/>
    </row>
    <row r="20" spans="1:6" s="24" customFormat="1" x14ac:dyDescent="0.15">
      <c r="A20" s="32"/>
      <c r="B20" s="32"/>
      <c r="C20" s="32"/>
      <c r="D20" s="29"/>
      <c r="E20" s="31"/>
      <c r="F20" s="31"/>
    </row>
    <row r="21" spans="1:6" s="24" customFormat="1" x14ac:dyDescent="0.15">
      <c r="A21" s="32"/>
      <c r="B21" s="32"/>
      <c r="C21" s="32"/>
      <c r="D21" s="29"/>
      <c r="E21" s="31"/>
      <c r="F21" s="31"/>
    </row>
    <row r="24" spans="1:6" x14ac:dyDescent="0.15">
      <c r="A24" s="36" t="s">
        <v>101</v>
      </c>
      <c r="B24" s="34"/>
      <c r="C24" s="34"/>
      <c r="D24" s="34"/>
      <c r="E24" s="34"/>
      <c r="F24" s="34"/>
    </row>
    <row r="25" spans="1:6" x14ac:dyDescent="0.15">
      <c r="A25" s="9" t="s">
        <v>55</v>
      </c>
      <c r="B25" s="9" t="s">
        <v>96</v>
      </c>
      <c r="C25" s="9" t="s">
        <v>97</v>
      </c>
      <c r="D25" s="9" t="s">
        <v>98</v>
      </c>
      <c r="E25" s="9" t="s">
        <v>64</v>
      </c>
      <c r="F25" s="9" t="s">
        <v>99</v>
      </c>
    </row>
    <row r="26" spans="1:6" x14ac:dyDescent="0.15">
      <c r="A26" s="6" t="s">
        <v>102</v>
      </c>
      <c r="B26" s="6">
        <f>SUMIF(クレンジング!$H$2:$H$501,A26,クレンジング!$D$2:$D$501)</f>
        <v>5092</v>
      </c>
      <c r="C26" s="14">
        <f>SUMIF(クレンジング!$H$2:$H$501,A26,クレンジング!$E$2:$E$501)</f>
        <v>6220861</v>
      </c>
      <c r="D26" s="15">
        <f>AVERAGEIF(クレンジング!$H$2:$H$501,A26,クレンジング!$F$2:$F$501)</f>
        <v>0.65463655919652453</v>
      </c>
      <c r="E26" s="6">
        <f>AVERAGEIF(クレンジング!$H$2:$H$501,A26,クレンジング!$D$2:$D$501)</f>
        <v>169.73333333333332</v>
      </c>
      <c r="F26" s="15">
        <f t="shared" ref="F26:F42" si="0">C26/SUM($C$26:$C$42)</f>
        <v>6.8118606155085568E-2</v>
      </c>
    </row>
    <row r="27" spans="1:6" x14ac:dyDescent="0.15">
      <c r="A27" s="6" t="s">
        <v>103</v>
      </c>
      <c r="B27" s="6">
        <f>SUMIF(クレンジング!$H$2:$H$501,A27,クレンジング!$D$2:$D$501)</f>
        <v>5240</v>
      </c>
      <c r="C27" s="14">
        <f>SUMIF(クレンジング!$H$2:$H$501,A27,クレンジング!$E$2:$E$501)</f>
        <v>6300767</v>
      </c>
      <c r="D27" s="15">
        <f>AVERAGEIF(クレンジング!$H$2:$H$501,A27,クレンジング!$F$2:$F$501)</f>
        <v>0.65026483948177827</v>
      </c>
      <c r="E27" s="6">
        <f>AVERAGEIF(クレンジング!$H$2:$H$501,A27,クレンジング!$D$2:$D$501)</f>
        <v>169.03225806451613</v>
      </c>
      <c r="F27" s="15">
        <f t="shared" si="0"/>
        <v>6.8993579144102396E-2</v>
      </c>
    </row>
    <row r="28" spans="1:6" x14ac:dyDescent="0.15">
      <c r="A28" s="6" t="s">
        <v>104</v>
      </c>
      <c r="B28" s="6">
        <f>SUMIF(クレンジング!$H$2:$H$501,A28,クレンジング!$D$2:$D$501)</f>
        <v>4370</v>
      </c>
      <c r="C28" s="14">
        <f>SUMIF(クレンジング!$H$2:$H$501,A28,クレンジング!$E$2:$E$501)</f>
        <v>5258015</v>
      </c>
      <c r="D28" s="15">
        <f>AVERAGEIF(クレンジング!$H$2:$H$501,A28,クレンジング!$F$2:$F$501)</f>
        <v>0.5525555016785948</v>
      </c>
      <c r="E28" s="6">
        <f>AVERAGEIF(クレンジング!$H$2:$H$501,A28,クレンジング!$D$2:$D$501)</f>
        <v>145.66666666666666</v>
      </c>
      <c r="F28" s="15">
        <f t="shared" si="0"/>
        <v>5.7575414873042852E-2</v>
      </c>
    </row>
    <row r="29" spans="1:6" x14ac:dyDescent="0.15">
      <c r="A29" s="6" t="s">
        <v>105</v>
      </c>
      <c r="B29" s="6">
        <f>SUMIF(クレンジング!$H$2:$H$501,A29,クレンジング!$D$2:$D$501)</f>
        <v>4395</v>
      </c>
      <c r="C29" s="14">
        <f>SUMIF(クレンジング!$H$2:$H$501,A29,クレンジング!$E$2:$E$501)</f>
        <v>5245098</v>
      </c>
      <c r="D29" s="15">
        <f>AVERAGEIF(クレンジング!$H$2:$H$501,A29,クレンジング!$F$2:$F$501)</f>
        <v>0.5422793160672974</v>
      </c>
      <c r="E29" s="6">
        <f>AVERAGEIF(クレンジング!$H$2:$H$501,A29,クレンジング!$D$2:$D$501)</f>
        <v>141.7741935483871</v>
      </c>
      <c r="F29" s="15">
        <f t="shared" si="0"/>
        <v>5.7433973353017691E-2</v>
      </c>
    </row>
    <row r="30" spans="1:6" x14ac:dyDescent="0.15">
      <c r="A30" s="6" t="s">
        <v>106</v>
      </c>
      <c r="B30" s="6">
        <f>SUMIF(クレンジング!$H$2:$H$501,A30,クレンジング!$D$2:$D$501)</f>
        <v>4178</v>
      </c>
      <c r="C30" s="14">
        <f>SUMIF(クレンジング!$H$2:$H$501,A30,クレンジング!$E$2:$E$501)</f>
        <v>5041050</v>
      </c>
      <c r="D30" s="15">
        <f>AVERAGEIF(クレンジング!$H$2:$H$501,A30,クレンジング!$F$2:$F$501)</f>
        <v>0.53217338815179771</v>
      </c>
      <c r="E30" s="6">
        <f>AVERAGEIF(クレンジング!$H$2:$H$501,A30,クレンジング!$D$2:$D$501)</f>
        <v>134.7741935483871</v>
      </c>
      <c r="F30" s="15">
        <f t="shared" si="0"/>
        <v>5.5199641907783197E-2</v>
      </c>
    </row>
    <row r="31" spans="1:6" x14ac:dyDescent="0.15">
      <c r="A31" s="6" t="s">
        <v>107</v>
      </c>
      <c r="B31" s="6">
        <f>SUMIF(クレンジング!$H$2:$H$501,A31,クレンジング!$D$2:$D$501)</f>
        <v>3961</v>
      </c>
      <c r="C31" s="14">
        <f>SUMIF(クレンジング!$H$2:$H$501,A31,クレンジング!$E$2:$E$501)</f>
        <v>4851450</v>
      </c>
      <c r="D31" s="15">
        <f>AVERAGEIF(クレンジング!$H$2:$H$501,A31,クレンジング!$F$2:$F$501)</f>
        <v>0.50380555751427647</v>
      </c>
      <c r="E31" s="6">
        <f>AVERAGEIF(クレンジング!$H$2:$H$501,A31,クレンジング!$D$2:$D$501)</f>
        <v>132.03333333333333</v>
      </c>
      <c r="F31" s="15">
        <f t="shared" si="0"/>
        <v>5.3123516476431452E-2</v>
      </c>
    </row>
    <row r="32" spans="1:6" x14ac:dyDescent="0.15">
      <c r="A32" s="6" t="s">
        <v>108</v>
      </c>
      <c r="B32" s="6">
        <f>SUMIF(クレンジング!$H$2:$H$501,A32,クレンジング!$D$2:$D$501)</f>
        <v>3940</v>
      </c>
      <c r="C32" s="14">
        <f>SUMIF(クレンジング!$H$2:$H$501,A32,クレンジング!$E$2:$E$501)</f>
        <v>4755396</v>
      </c>
      <c r="D32" s="15">
        <f>AVERAGEIF(クレンジング!$H$2:$H$501,A32,クレンジング!$F$2:$F$501)</f>
        <v>0.49391247175327258</v>
      </c>
      <c r="E32" s="6">
        <f>AVERAGEIF(クレンジング!$H$2:$H$501,A32,クレンジング!$D$2:$D$501)</f>
        <v>127.09677419354838</v>
      </c>
      <c r="F32" s="15">
        <f t="shared" si="0"/>
        <v>5.2071722424833038E-2</v>
      </c>
    </row>
    <row r="33" spans="1:6" x14ac:dyDescent="0.15">
      <c r="A33" s="6" t="s">
        <v>109</v>
      </c>
      <c r="B33" s="6">
        <f>SUMIF(クレンジング!$H$2:$H$501,A33,クレンジング!$D$2:$D$501)</f>
        <v>4131</v>
      </c>
      <c r="C33" s="14">
        <f>SUMIF(クレンジング!$H$2:$H$501,A33,クレンジング!$E$2:$E$501)</f>
        <v>4878825</v>
      </c>
      <c r="D33" s="15">
        <f>AVERAGEIF(クレンジング!$H$2:$H$501,A33,クレンジング!$F$2:$F$501)</f>
        <v>0.52595825568934962</v>
      </c>
      <c r="E33" s="6">
        <f>AVERAGEIF(クレンジング!$H$2:$H$501,A33,クレンジング!$D$2:$D$501)</f>
        <v>137.69999999999999</v>
      </c>
      <c r="F33" s="15">
        <f t="shared" si="0"/>
        <v>5.3423273510625834E-2</v>
      </c>
    </row>
    <row r="34" spans="1:6" x14ac:dyDescent="0.15">
      <c r="A34" s="6" t="s">
        <v>110</v>
      </c>
      <c r="B34" s="6">
        <f>SUMIF(クレンジング!$H$2:$H$501,A34,クレンジング!$D$2:$D$501)</f>
        <v>4333</v>
      </c>
      <c r="C34" s="14">
        <f>SUMIF(クレンジング!$H$2:$H$501,A34,クレンジング!$E$2:$E$501)</f>
        <v>5259467</v>
      </c>
      <c r="D34" s="15">
        <f>AVERAGEIF(クレンジング!$H$2:$H$501,A34,クレンジング!$F$2:$F$501)</f>
        <v>0.53273354653467342</v>
      </c>
      <c r="E34" s="6">
        <f>AVERAGEIF(クレンジング!$H$2:$H$501,A34,クレンジング!$D$2:$D$501)</f>
        <v>139.7741935483871</v>
      </c>
      <c r="F34" s="15">
        <f t="shared" si="0"/>
        <v>5.7591314314637376E-2</v>
      </c>
    </row>
    <row r="35" spans="1:6" x14ac:dyDescent="0.15">
      <c r="A35" s="6" t="s">
        <v>111</v>
      </c>
      <c r="B35" s="6">
        <f>SUMIF(クレンジング!$H$2:$H$501,A35,クレンジング!$D$2:$D$501)</f>
        <v>4564</v>
      </c>
      <c r="C35" s="14">
        <f>SUMIF(クレンジング!$H$2:$H$501,A35,クレンジング!$E$2:$E$501)</f>
        <v>5666186</v>
      </c>
      <c r="D35" s="15">
        <f>AVERAGEIF(クレンジング!$H$2:$H$501,A35,クレンジング!$F$2:$F$501)</f>
        <v>0.55984890164873025</v>
      </c>
      <c r="E35" s="6">
        <f>AVERAGEIF(クレンジング!$H$2:$H$501,A35,クレンジング!$D$2:$D$501)</f>
        <v>147.2258064516129</v>
      </c>
      <c r="F35" s="15">
        <f t="shared" si="0"/>
        <v>6.2044899015660314E-2</v>
      </c>
    </row>
    <row r="36" spans="1:6" x14ac:dyDescent="0.15">
      <c r="A36" s="6" t="s">
        <v>112</v>
      </c>
      <c r="B36" s="6">
        <f>SUMIF(クレンジング!$H$2:$H$501,A36,クレンジング!$D$2:$D$501)</f>
        <v>4565</v>
      </c>
      <c r="C36" s="14">
        <f>SUMIF(クレンジング!$H$2:$H$501,A36,クレンジング!$E$2:$E$501)</f>
        <v>5487008</v>
      </c>
      <c r="D36" s="15">
        <f>AVERAGEIF(クレンジング!$H$2:$H$501,A36,クレンジング!$F$2:$F$501)</f>
        <v>0.61225795036781228</v>
      </c>
      <c r="E36" s="6">
        <f>AVERAGEIF(クレンジング!$H$2:$H$501,A36,クレンジング!$D$2:$D$501)</f>
        <v>163.03571428571428</v>
      </c>
      <c r="F36" s="15">
        <f t="shared" si="0"/>
        <v>6.0082894782861045E-2</v>
      </c>
    </row>
    <row r="37" spans="1:6" x14ac:dyDescent="0.15">
      <c r="A37" s="6" t="s">
        <v>113</v>
      </c>
      <c r="B37" s="6">
        <f>SUMIF(クレンジング!$H$2:$H$501,A37,クレンジング!$D$2:$D$501)</f>
        <v>4985</v>
      </c>
      <c r="C37" s="14">
        <f>SUMIF(クレンジング!$H$2:$H$501,A37,クレンジング!$E$2:$E$501)</f>
        <v>5943582</v>
      </c>
      <c r="D37" s="15">
        <f>AVERAGEIF(クレンジング!$H$2:$H$501,A37,クレンジング!$F$2:$F$501)</f>
        <v>0.6222620724773168</v>
      </c>
      <c r="E37" s="6">
        <f>AVERAGEIF(クレンジング!$H$2:$H$501,A37,クレンジング!$D$2:$D$501)</f>
        <v>160.80645161290323</v>
      </c>
      <c r="F37" s="15">
        <f t="shared" si="0"/>
        <v>6.5082393162048752E-2</v>
      </c>
    </row>
    <row r="38" spans="1:6" x14ac:dyDescent="0.15">
      <c r="A38" s="6" t="s">
        <v>114</v>
      </c>
      <c r="B38" s="6">
        <f>SUMIF(クレンジング!$H$2:$H$501,A38,クレンジング!$D$2:$D$501)</f>
        <v>5232</v>
      </c>
      <c r="C38" s="14">
        <f>SUMIF(クレンジング!$H$2:$H$501,A38,クレンジング!$E$2:$E$501)</f>
        <v>6342799</v>
      </c>
      <c r="D38" s="15">
        <f>AVERAGEIF(クレンジング!$H$2:$H$501,A38,クレンジング!$F$2:$F$501)</f>
        <v>0.68663050770410361</v>
      </c>
      <c r="E38" s="6">
        <f>AVERAGEIF(クレンジング!$H$2:$H$501,A38,クレンジング!$D$2:$D$501)</f>
        <v>174.4</v>
      </c>
      <c r="F38" s="15">
        <f t="shared" si="0"/>
        <v>6.945383074816662E-2</v>
      </c>
    </row>
    <row r="39" spans="1:6" x14ac:dyDescent="0.15">
      <c r="A39" s="6" t="s">
        <v>115</v>
      </c>
      <c r="B39" s="6">
        <f>SUMIF(クレンジング!$H$2:$H$501,A39,クレンジング!$D$2:$D$501)</f>
        <v>5442</v>
      </c>
      <c r="C39" s="14">
        <f>SUMIF(クレンジング!$H$2:$H$501,A39,クレンジング!$E$2:$E$501)</f>
        <v>6660793</v>
      </c>
      <c r="D39" s="15">
        <f>AVERAGEIF(クレンジング!$H$2:$H$501,A39,クレンジング!$F$2:$F$501)</f>
        <v>0.66717211633796714</v>
      </c>
      <c r="E39" s="6">
        <f>AVERAGEIF(クレンジング!$H$2:$H$501,A39,クレンジング!$D$2:$D$501)</f>
        <v>175.54838709677421</v>
      </c>
      <c r="F39" s="15">
        <f t="shared" si="0"/>
        <v>7.2935874157540381E-2</v>
      </c>
    </row>
    <row r="40" spans="1:6" x14ac:dyDescent="0.15">
      <c r="A40" s="6" t="s">
        <v>116</v>
      </c>
      <c r="B40" s="6">
        <f>SUMIF(クレンジング!$H$2:$H$501,A40,クレンジング!$D$2:$D$501)</f>
        <v>4785</v>
      </c>
      <c r="C40" s="14">
        <f>SUMIF(クレンジング!$H$2:$H$501,A40,クレンジング!$E$2:$E$501)</f>
        <v>5774273</v>
      </c>
      <c r="D40" s="15">
        <f>AVERAGEIF(クレンジング!$H$2:$H$501,A40,クレンジング!$F$2:$F$501)</f>
        <v>0.62858040639551793</v>
      </c>
      <c r="E40" s="6">
        <f>AVERAGEIF(クレンジング!$H$2:$H$501,A40,クレンジング!$D$2:$D$501)</f>
        <v>159.5</v>
      </c>
      <c r="F40" s="15">
        <f t="shared" si="0"/>
        <v>6.3228454761960498E-2</v>
      </c>
    </row>
    <row r="41" spans="1:6" x14ac:dyDescent="0.15">
      <c r="A41" s="6" t="s">
        <v>117</v>
      </c>
      <c r="B41" s="6">
        <f>SUMIF(クレンジング!$H$2:$H$501,A41,クレンジング!$D$2:$D$501)</f>
        <v>4506</v>
      </c>
      <c r="C41" s="14">
        <f>SUMIF(クレンジング!$H$2:$H$501,A41,クレンジング!$E$2:$E$501)</f>
        <v>5409858</v>
      </c>
      <c r="D41" s="15">
        <f>AVERAGEIF(クレンジング!$H$2:$H$501,A41,クレンジング!$F$2:$F$501)</f>
        <v>0.56371201570455176</v>
      </c>
      <c r="E41" s="6">
        <f>AVERAGEIF(クレンジング!$H$2:$H$501,A41,クレンジング!$D$2:$D$501)</f>
        <v>145.35483870967741</v>
      </c>
      <c r="F41" s="15">
        <f t="shared" si="0"/>
        <v>5.9238100072793599E-2</v>
      </c>
    </row>
    <row r="42" spans="1:6" x14ac:dyDescent="0.15">
      <c r="A42" s="6" t="s">
        <v>118</v>
      </c>
      <c r="B42" s="6">
        <f>SUMIF(クレンジング!$H$2:$H$501,A42,クレンジング!$D$2:$D$501)</f>
        <v>1846</v>
      </c>
      <c r="C42" s="14">
        <f>SUMIF(クレンジング!$H$2:$H$501,A42,クレンジング!$E$2:$E$501)</f>
        <v>2228534</v>
      </c>
      <c r="D42" s="15">
        <f>AVERAGEIF(クレンジング!$H$2:$H$501,A42,クレンジング!$F$2:$F$501)</f>
        <v>0.54426259455126991</v>
      </c>
      <c r="E42" s="6">
        <f>AVERAGEIF(クレンジング!$H$2:$H$501,A42,クレンジング!$D$2:$D$501)</f>
        <v>142</v>
      </c>
      <c r="F42" s="15">
        <f t="shared" si="0"/>
        <v>2.4402511139409392E-2</v>
      </c>
    </row>
    <row r="47" spans="1:6" x14ac:dyDescent="0.15">
      <c r="A47" t="s">
        <v>149</v>
      </c>
    </row>
    <row r="48" spans="1:6" x14ac:dyDescent="0.15">
      <c r="A48" s="26" t="s">
        <v>98</v>
      </c>
      <c r="B48" s="26" t="s">
        <v>140</v>
      </c>
    </row>
    <row r="49" spans="1:9" x14ac:dyDescent="0.15">
      <c r="A49" s="26" t="s">
        <v>95</v>
      </c>
      <c r="B49" s="24" t="s">
        <v>55</v>
      </c>
      <c r="C49" s="24" t="s">
        <v>142</v>
      </c>
      <c r="D49" s="24" t="s">
        <v>143</v>
      </c>
      <c r="E49" s="24" t="s">
        <v>144</v>
      </c>
      <c r="F49" s="24" t="s">
        <v>145</v>
      </c>
      <c r="G49" s="24" t="s">
        <v>146</v>
      </c>
      <c r="H49" s="24" t="s">
        <v>141</v>
      </c>
      <c r="I49" s="24" t="s">
        <v>100</v>
      </c>
    </row>
    <row r="50" spans="1:9" x14ac:dyDescent="0.15">
      <c r="A50" s="27" t="s">
        <v>45</v>
      </c>
      <c r="B50" s="28">
        <v>0.67828518419172601</v>
      </c>
      <c r="C50" s="28">
        <v>0.68271027946055207</v>
      </c>
      <c r="D50" s="28">
        <v>0.691072003041311</v>
      </c>
      <c r="E50" s="28">
        <v>0.7138626269631605</v>
      </c>
      <c r="F50" s="28">
        <v>0.66045648529608558</v>
      </c>
      <c r="G50" s="28">
        <v>0.67242532220688078</v>
      </c>
      <c r="H50" s="28">
        <v>0.72615293372579559</v>
      </c>
      <c r="I50" s="28">
        <v>0.68804875334538007</v>
      </c>
    </row>
    <row r="51" spans="1:9" x14ac:dyDescent="0.15">
      <c r="A51" s="27" t="s">
        <v>51</v>
      </c>
      <c r="B51" s="28">
        <v>0.64573749627863775</v>
      </c>
      <c r="C51" s="28">
        <v>0.71034845337217523</v>
      </c>
      <c r="D51" s="28">
        <v>0.6594979470184763</v>
      </c>
      <c r="E51" s="28">
        <v>0.6625263327873343</v>
      </c>
      <c r="F51" s="28">
        <v>0.67233705540235233</v>
      </c>
      <c r="G51" s="28">
        <v>0.71201921766161569</v>
      </c>
      <c r="H51" s="28">
        <v>0.71318922268879992</v>
      </c>
      <c r="I51" s="28">
        <v>0.68132086501900568</v>
      </c>
    </row>
    <row r="52" spans="1:9" x14ac:dyDescent="0.15">
      <c r="A52" s="27" t="s">
        <v>37</v>
      </c>
      <c r="B52" s="28">
        <v>0.48155981334135206</v>
      </c>
      <c r="C52" s="28">
        <v>0.42474822977169346</v>
      </c>
      <c r="D52" s="28">
        <v>0.48620118397742929</v>
      </c>
      <c r="E52" s="28">
        <v>0.48206548112000175</v>
      </c>
      <c r="F52" s="28">
        <v>0.48149224373890637</v>
      </c>
      <c r="G52" s="28">
        <v>0.50642292258037769</v>
      </c>
      <c r="H52" s="28">
        <v>0.51703234056315928</v>
      </c>
      <c r="I52" s="28">
        <v>0.48485668482497052</v>
      </c>
    </row>
    <row r="53" spans="1:9" x14ac:dyDescent="0.15">
      <c r="A53" s="27" t="s">
        <v>54</v>
      </c>
      <c r="B53" s="28">
        <v>0.47487511381843273</v>
      </c>
      <c r="C53" s="28">
        <v>0.46420754743020454</v>
      </c>
      <c r="D53" s="28">
        <v>0.48679166231675791</v>
      </c>
      <c r="E53" s="28">
        <v>0.46398443273483214</v>
      </c>
      <c r="F53" s="28">
        <v>0.46797791197255822</v>
      </c>
      <c r="G53" s="28">
        <v>0.50818799440871232</v>
      </c>
      <c r="H53" s="28">
        <v>0.49286949611228559</v>
      </c>
      <c r="I53" s="28">
        <v>0.47972641577336667</v>
      </c>
    </row>
    <row r="54" spans="1:9" x14ac:dyDescent="0.15">
      <c r="A54" s="27" t="s">
        <v>100</v>
      </c>
      <c r="B54" s="28">
        <v>0.5606551329393169</v>
      </c>
      <c r="C54" s="28">
        <v>0.56834527852423888</v>
      </c>
      <c r="D54" s="28">
        <v>0.57194048966909761</v>
      </c>
      <c r="E54" s="28">
        <v>0.58022372984555914</v>
      </c>
      <c r="F54" s="28">
        <v>0.58715757513251909</v>
      </c>
      <c r="G54" s="28">
        <v>0.58999559636387389</v>
      </c>
      <c r="H54" s="28">
        <v>0.61433359470365234</v>
      </c>
      <c r="I54" s="28">
        <v>0.58175751739539039</v>
      </c>
    </row>
  </sheetData>
  <mergeCells count="3">
    <mergeCell ref="A1:F1"/>
    <mergeCell ref="A24:F24"/>
    <mergeCell ref="A11:F11"/>
  </mergeCells>
  <phoneticPr fontId="8"/>
  <conditionalFormatting pivot="1" sqref="B50:I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showGridLines="0" zoomScale="85" zoomScaleNormal="85" workbookViewId="0">
      <selection activeCell="J14" sqref="J14"/>
    </sheetView>
  </sheetViews>
  <sheetFormatPr defaultRowHeight="13.5" x14ac:dyDescent="0.15"/>
  <sheetData>
    <row r="1" spans="1:10" ht="24" x14ac:dyDescent="0.25">
      <c r="A1" s="37" t="s">
        <v>119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x14ac:dyDescent="0.15">
      <c r="A3" s="41" t="s">
        <v>120</v>
      </c>
      <c r="B3" s="39"/>
      <c r="C3" s="41" t="s">
        <v>98</v>
      </c>
      <c r="D3" s="39"/>
      <c r="E3" s="41" t="s">
        <v>64</v>
      </c>
      <c r="F3" s="39"/>
      <c r="G3" s="41" t="s">
        <v>121</v>
      </c>
      <c r="H3" s="39"/>
      <c r="I3" s="41" t="s">
        <v>122</v>
      </c>
      <c r="J3" s="39"/>
    </row>
    <row r="4" spans="1:10" ht="18.75" x14ac:dyDescent="0.2">
      <c r="A4" s="40">
        <f>集計!C9</f>
        <v>91323962</v>
      </c>
      <c r="B4" s="39"/>
      <c r="C4" s="43">
        <f>集計!E9</f>
        <v>0.58175751739539061</v>
      </c>
      <c r="D4" s="39"/>
      <c r="E4" s="38">
        <f>集計!D9</f>
        <v>151.13</v>
      </c>
      <c r="F4" s="39"/>
      <c r="G4" s="44">
        <f>統計分析!B16</f>
        <v>0.96601688078207093</v>
      </c>
      <c r="H4" s="39"/>
      <c r="I4" s="40">
        <f>統計分析!B19</f>
        <v>193908.56854574278</v>
      </c>
      <c r="J4" s="39"/>
    </row>
    <row r="27" spans="1:10" x14ac:dyDescent="0.15">
      <c r="A27" s="35" t="s">
        <v>123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15">
      <c r="A28" s="42" t="s">
        <v>124</v>
      </c>
      <c r="B28" s="34"/>
      <c r="C28" s="34"/>
      <c r="D28" s="34"/>
      <c r="E28" s="34"/>
      <c r="F28" s="34"/>
      <c r="G28" s="34"/>
      <c r="H28" s="34"/>
      <c r="I28" s="34"/>
      <c r="J28" s="34"/>
    </row>
    <row r="29" spans="1:10" x14ac:dyDescent="0.15">
      <c r="A29" s="34"/>
      <c r="B29" s="34"/>
      <c r="C29" s="34"/>
      <c r="D29" s="34"/>
      <c r="E29" s="34"/>
      <c r="F29" s="34"/>
      <c r="G29" s="34"/>
      <c r="H29" s="34"/>
      <c r="I29" s="34"/>
      <c r="J29" s="34"/>
    </row>
  </sheetData>
  <mergeCells count="13">
    <mergeCell ref="A28:J29"/>
    <mergeCell ref="C3:D3"/>
    <mergeCell ref="A3:B3"/>
    <mergeCell ref="G3:H3"/>
    <mergeCell ref="E3:F3"/>
    <mergeCell ref="C4:D4"/>
    <mergeCell ref="A4:B4"/>
    <mergeCell ref="G4:H4"/>
    <mergeCell ref="A1:J1"/>
    <mergeCell ref="E4:F4"/>
    <mergeCell ref="I4:J4"/>
    <mergeCell ref="I3:J3"/>
    <mergeCell ref="A27:J27"/>
  </mergeCells>
  <phoneticPr fontId="8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zoomScale="115" zoomScaleNormal="115" workbookViewId="0">
      <selection activeCell="B3" sqref="B3"/>
    </sheetView>
  </sheetViews>
  <sheetFormatPr defaultRowHeight="13.5" x14ac:dyDescent="0.15"/>
  <cols>
    <col min="1" max="1" width="22" customWidth="1"/>
    <col min="2" max="2" width="28" customWidth="1"/>
    <col min="3" max="3" width="35" customWidth="1"/>
    <col min="4" max="4" width="18" customWidth="1"/>
    <col min="6" max="6" width="2" customWidth="1"/>
  </cols>
  <sheetData>
    <row r="1" spans="1:4" ht="18.75" x14ac:dyDescent="0.15">
      <c r="A1" s="33" t="s">
        <v>125</v>
      </c>
      <c r="B1" s="34"/>
      <c r="C1" s="34"/>
      <c r="D1" s="34"/>
    </row>
    <row r="3" spans="1:4" x14ac:dyDescent="0.15">
      <c r="A3" s="11" t="s">
        <v>126</v>
      </c>
      <c r="B3" s="6">
        <v>160</v>
      </c>
      <c r="C3" s="12"/>
      <c r="D3" s="12"/>
    </row>
    <row r="4" spans="1:4" x14ac:dyDescent="0.15">
      <c r="A4" s="11" t="s">
        <v>127</v>
      </c>
      <c r="B4" s="14">
        <f>FORECAST(B3,クレンジング!E2:E501,クレンジング!D2:D501)</f>
        <v>193908.56854574278</v>
      </c>
      <c r="C4" s="12"/>
      <c r="D4" s="12"/>
    </row>
    <row r="6" spans="1:4" x14ac:dyDescent="0.15">
      <c r="A6" s="8" t="s">
        <v>128</v>
      </c>
      <c r="B6" s="42" t="s">
        <v>129</v>
      </c>
      <c r="C6" s="34"/>
      <c r="D6" s="34"/>
    </row>
    <row r="7" spans="1:4" x14ac:dyDescent="0.15">
      <c r="B7" s="34"/>
      <c r="C7" s="34"/>
      <c r="D7" s="34"/>
    </row>
    <row r="10" spans="1:4" x14ac:dyDescent="0.15">
      <c r="A10" s="9" t="s">
        <v>126</v>
      </c>
      <c r="B10" s="9" t="s">
        <v>127</v>
      </c>
    </row>
    <row r="11" spans="1:4" x14ac:dyDescent="0.15">
      <c r="A11" s="6">
        <v>120</v>
      </c>
      <c r="B11" s="14">
        <f>FORECAST(A11,クレンジング!E2:E501,クレンジング!D2:D501)</f>
        <v>143127.75886933788</v>
      </c>
    </row>
    <row r="12" spans="1:4" x14ac:dyDescent="0.15">
      <c r="A12" s="6">
        <v>140</v>
      </c>
      <c r="B12" s="14">
        <f>FORECAST(A12,クレンジング!E2:E501,クレンジング!D2:D501)</f>
        <v>168518.16370754034</v>
      </c>
    </row>
    <row r="13" spans="1:4" x14ac:dyDescent="0.15">
      <c r="A13" s="6">
        <v>160</v>
      </c>
      <c r="B13" s="14">
        <f>FORECAST(A13,クレンジング!E2:E501,クレンジング!D2:D501)</f>
        <v>193908.56854574278</v>
      </c>
    </row>
    <row r="14" spans="1:4" x14ac:dyDescent="0.15">
      <c r="A14" s="6">
        <v>180</v>
      </c>
      <c r="B14" s="14">
        <f>FORECAST(A14,クレンジング!E2:E501,クレンジング!D2:D501)</f>
        <v>219298.97338394524</v>
      </c>
    </row>
    <row r="15" spans="1:4" x14ac:dyDescent="0.15">
      <c r="A15" s="6">
        <v>200</v>
      </c>
      <c r="B15" s="14">
        <f>FORECAST(A15,クレンジング!E2:E501,クレンジング!D2:D501)</f>
        <v>244689.3782221477</v>
      </c>
    </row>
  </sheetData>
  <mergeCells count="2">
    <mergeCell ref="A1:D1"/>
    <mergeCell ref="B6:D7"/>
  </mergeCells>
  <phoneticPr fontId="8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</vt:lpstr>
      <vt:lpstr>実績データ</vt:lpstr>
      <vt:lpstr>クレンジング</vt:lpstr>
      <vt:lpstr>統計分析</vt:lpstr>
      <vt:lpstr>集計</vt:lpstr>
      <vt:lpstr>ダッシュボード</vt:lpstr>
      <vt:lpstr>予測シミュレーション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2026-08-30T12:49:33Z</dcterms:created>
  <dcterms:modified xsi:type="dcterms:W3CDTF">2026-09-02T02:15:19Z</dcterms:modified>
</cp:coreProperties>
</file>